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0" yWindow="4500" windowWidth="28800" windowHeight="15285" tabRatio="600" firstSheet="0" activeTab="0" autoFilterDateGrouping="1"/>
  </bookViews>
  <sheets>
    <sheet xmlns:r="http://schemas.openxmlformats.org/officeDocument/2006/relationships" name="Suivi Tâch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AJ App Shin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-MMM"/>
    <numFmt numFmtId="166" formatCode="yyyy-mm-dd h:mm:ss"/>
    <numFmt numFmtId="167" formatCode="DD-MMM-YY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family val="2"/>
      <color theme="10"/>
      <sz val="11"/>
      <u val="single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6" pivotButton="0" quotePrefix="0" xfId="0"/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4" fillId="6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2">
    <cellStyle name="Normal" xfId="0" builtinId="0"/>
    <cellStyle name="Lien hypertexte" xfId="1" builtinId="8"/>
  </cellStyles>
  <dxfs count="3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che.com/global/en/job/ROCHGLOBAL202603107265EXTERNALENGLOBAL/Biostatistician-Intern-Basel-4-6-months?utm_source=linkedin&amp;utm_medium=phenom-feed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topLeftCell="B1" zoomScale="145" zoomScaleNormal="145" workbookViewId="0">
      <pane ySplit="1" topLeftCell="A2" activePane="bottomLeft" state="frozen"/>
      <selection pane="bottomLeft" activeCell="N4" sqref="N4"/>
    </sheetView>
  </sheetViews>
  <sheetFormatPr baseColWidth="10" defaultColWidth="9.140625" defaultRowHeight="15"/>
  <cols>
    <col width="14.28515625" bestFit="1" customWidth="1" style="15" min="1" max="2"/>
    <col width="39" bestFit="1" customWidth="1" style="15" min="3" max="3"/>
    <col width="8.42578125" bestFit="1" customWidth="1" style="15" min="4" max="4"/>
    <col width="14.85546875" bestFit="1" customWidth="1" style="15" min="5" max="5"/>
    <col width="37.28515625" bestFit="1" customWidth="1" style="15" min="6" max="6"/>
    <col width="18.5703125" bestFit="1" customWidth="1" style="15" min="7" max="7"/>
    <col width="30" customWidth="1" style="15" min="8" max="8"/>
    <col width="9.140625" customWidth="1" style="15" min="9" max="16384"/>
  </cols>
  <sheetData>
    <row r="1" ht="30" customHeight="1">
      <c r="A1" s="4" t="inlineStr">
        <is>
          <t>Réunion / Date</t>
        </is>
      </c>
      <c r="B1" s="4" t="inlineStr">
        <is>
          <t>Projet / Thème</t>
        </is>
      </c>
      <c r="C1" s="4" t="inlineStr">
        <is>
          <t>Tâche</t>
        </is>
      </c>
      <c r="D1" s="4" t="inlineStr">
        <is>
          <t>Statut</t>
        </is>
      </c>
      <c r="E1" s="4" t="inlineStr">
        <is>
          <t>Progression (%)</t>
        </is>
      </c>
      <c r="F1" s="4" t="inlineStr">
        <is>
          <t>Commentaires Abdallah / ce qui a été fait</t>
        </is>
      </c>
      <c r="G1" s="4" t="inlineStr">
        <is>
          <t>Commentaires Elisa</t>
        </is>
      </c>
      <c r="H1" s="4" t="inlineStr">
        <is>
          <t>Prochaines étapes</t>
        </is>
      </c>
    </row>
    <row r="2">
      <c r="A2" s="12" t="inlineStr">
        <is>
          <t>26-févr</t>
        </is>
      </c>
      <c r="B2" s="13" t="inlineStr">
        <is>
          <t>Frexa - BAY0130</t>
        </is>
      </c>
      <c r="C2" s="13" t="inlineStr">
        <is>
          <t>Rédiger la méthodologie de recherche</t>
        </is>
      </c>
      <c r="D2" s="13" t="inlineStr">
        <is>
          <t>Terminé</t>
        </is>
      </c>
      <c r="E2" s="13" t="n">
        <v>100</v>
      </c>
      <c r="F2" s="13" t="inlineStr">
        <is>
          <t>Lecture de docs existantes</t>
        </is>
      </c>
      <c r="G2" s="13" t="n"/>
      <c r="H2" s="13" t="inlineStr">
        <is>
          <t>Présenter à Elisa</t>
        </is>
      </c>
    </row>
    <row r="3">
      <c r="A3" s="16" t="n"/>
      <c r="B3" s="16" t="n"/>
      <c r="C3" s="13" t="inlineStr">
        <is>
          <t>Définir l'objectif de recherche</t>
        </is>
      </c>
      <c r="D3" s="13" t="inlineStr">
        <is>
          <t>Terminé</t>
        </is>
      </c>
      <c r="E3" s="13" t="n">
        <v>100</v>
      </c>
      <c r="F3" s="13" t="inlineStr">
        <is>
          <t>A revoir encore et encore</t>
        </is>
      </c>
      <c r="G3" s="13" t="n"/>
      <c r="H3" s="13" t="inlineStr">
        <is>
          <t>Présenter à Elisa</t>
        </is>
      </c>
    </row>
    <row r="4" ht="60" customHeight="1">
      <c r="A4" s="16" t="n"/>
      <c r="B4" s="16" t="n"/>
      <c r="C4" s="13" t="inlineStr">
        <is>
          <t>Réaliser l’évaluation du Frexa</t>
        </is>
      </c>
      <c r="D4" s="17" t="inlineStr">
        <is>
          <t>En cours</t>
        </is>
      </c>
      <c r="E4" s="13" t="n">
        <v>80</v>
      </c>
      <c r="F4" s="26" t="inlineStr">
        <is>
          <t>baseline FIM ok : PSM (FO) + Complet (FOCEI), FT=2/VC=1 /// 6 combinaisons FT=2 × APPROX × VC testées sur PSM /// trick FOCEI (REPL=100+$SIM) : CL 11%→5%, OMEGA(2,1) 211%→45% /// MODE=1 = FIM singulière (proscrit) /// reste : CTS N=200 pour valider</t>
        </is>
      </c>
      <c r="G4" s="13" t="n"/>
      <c r="H4" s="26" t="inlineStr">
        <is>
          <t>CTS N=200 (FOCEI, 200 réplications) puis comparer RSE FIM vs CTS</t>
        </is>
      </c>
    </row>
    <row r="5">
      <c r="A5" s="16" t="n"/>
      <c r="B5" s="16" t="n"/>
      <c r="C5" s="13" t="inlineStr">
        <is>
          <t>Choix implémentation (R/Shiny)</t>
        </is>
      </c>
      <c r="D5" s="13" t="inlineStr">
        <is>
          <t>Terminé</t>
        </is>
      </c>
      <c r="E5" s="13" t="n">
        <v>100</v>
      </c>
      <c r="F5" s="13" t="inlineStr">
        <is>
          <t>V1 Shiny</t>
        </is>
      </c>
      <c r="G5" s="13" t="n"/>
      <c r="H5" s="13" t="inlineStr">
        <is>
          <t>Présenter à Elisa</t>
        </is>
      </c>
    </row>
    <row r="6">
      <c r="A6" s="16" t="n"/>
      <c r="B6" s="16" t="n"/>
      <c r="C6" s="13" t="inlineStr">
        <is>
          <t>Choix implémentation (R/Shiny)</t>
        </is>
      </c>
      <c r="D6" s="13" t="inlineStr">
        <is>
          <t>Terminé</t>
        </is>
      </c>
      <c r="E6" s="13" t="n">
        <v>99</v>
      </c>
      <c r="F6" s="13" t="inlineStr">
        <is>
          <t>V2 Shiny</t>
        </is>
      </c>
      <c r="G6" s="13" t="n"/>
      <c r="H6" s="13" t="inlineStr">
        <is>
          <t>Présenter à Elisa</t>
        </is>
      </c>
    </row>
    <row r="7">
      <c r="A7" s="16" t="n"/>
      <c r="B7" s="16" t="n"/>
      <c r="C7" s="13" t="inlineStr">
        <is>
          <t>Revue littérature covariables (cat. &amp; cont.)</t>
        </is>
      </c>
      <c r="D7" s="13" t="inlineStr">
        <is>
          <t>Terminé</t>
        </is>
      </c>
      <c r="E7" s="13" t="n">
        <v>100</v>
      </c>
      <c r="F7" s="13" t="inlineStr">
        <is>
          <t>Webinaire de RJB / Papiers de LF</t>
        </is>
      </c>
      <c r="G7" s="13" t="n"/>
      <c r="H7" s="13" t="inlineStr">
        <is>
          <t>Présenter à Elisa</t>
        </is>
      </c>
    </row>
    <row r="8" ht="30" customHeight="1">
      <c r="A8" s="16" t="n"/>
      <c r="B8" s="19" t="n"/>
      <c r="C8" s="13" t="inlineStr">
        <is>
          <t>Choisir les algorithmes pertinents (simplex ? Fedorov ? Etc)</t>
        </is>
      </c>
      <c r="D8" s="17" t="inlineStr">
        <is>
          <t>En cours</t>
        </is>
      </c>
      <c r="E8" s="13" t="n">
        <v>50</v>
      </c>
      <c r="F8" s="26" t="inlineStr">
        <is>
          <t>taxonomie complète $DESIGN en 8 groupes (A-H) faite /// algos : NELDER (déterministe), RS/STGR (stochastiques), FEDOROV/DISCRETE (discret) /// chaînage RS→STGR→NELDER = recommandation Manuel NM l.7865 /// premiers runs MAXEVAL&gt;0 pas encore lancés</t>
        </is>
      </c>
      <c r="G8" s="13" t="n"/>
      <c r="H8" s="26" t="inlineStr">
        <is>
          <t>lancer premiers runs d'optimisation sur frexalimab PSM</t>
        </is>
      </c>
    </row>
    <row r="9" ht="30" customHeight="1">
      <c r="A9" s="19" t="n"/>
      <c r="B9" s="13" t="inlineStr">
        <is>
          <t>Scripts NM</t>
        </is>
      </c>
      <c r="C9" s="13" t="inlineStr">
        <is>
          <t>Script bash nettoyage auto (nmrun75 / nmrun76s)</t>
        </is>
      </c>
      <c r="D9" s="13" t="inlineStr">
        <is>
          <t>Terminé</t>
        </is>
      </c>
      <c r="E9" s="13" t="n">
        <v>100</v>
      </c>
      <c r="F9" s="13" t="inlineStr">
        <is>
          <t>Mise en place nmrun75 &amp; nmrun76s qui nettoient les fichiers inutilisés</t>
        </is>
      </c>
      <c r="G9" s="13" t="n"/>
      <c r="H9" s="13" t="inlineStr">
        <is>
          <t>Documenter l’usage</t>
        </is>
      </c>
    </row>
    <row r="10">
      <c r="A10" s="6" t="n">
        <v>46080</v>
      </c>
      <c r="B10" s="7" t="inlineStr">
        <is>
          <t>Scripts R</t>
        </is>
      </c>
      <c r="C10" s="13" t="inlineStr">
        <is>
          <t>Script R - lecture fichier .ext</t>
        </is>
      </c>
      <c r="D10" s="13" t="inlineStr">
        <is>
          <t>Terminé</t>
        </is>
      </c>
      <c r="E10" s="13" t="n">
        <v>100</v>
      </c>
      <c r="F10" s="7" t="inlineStr">
        <is>
          <t>Script lecture .ext et prior résumé</t>
        </is>
      </c>
      <c r="G10" s="7" t="n"/>
      <c r="H10" s="13" t="inlineStr">
        <is>
          <t>Fini</t>
        </is>
      </c>
    </row>
    <row r="11" ht="30" customHeight="1">
      <c r="A11" s="6" t="n">
        <v>46083</v>
      </c>
      <c r="B11" s="7" t="inlineStr">
        <is>
          <t>Guidance</t>
        </is>
      </c>
      <c r="C11" s="13" t="inlineStr">
        <is>
          <t>Vérifier dernières guidances FDA/EMA sur le design</t>
        </is>
      </c>
      <c r="D11" s="13" t="inlineStr">
        <is>
          <t>Terminé</t>
        </is>
      </c>
      <c r="E11" s="13" t="n">
        <v>100</v>
      </c>
      <c r="F11" s="7" t="inlineStr">
        <is>
          <t>EMA 2008 / FDA 2022</t>
        </is>
      </c>
      <c r="G11" s="7" t="n"/>
      <c r="H11" s="7" t="inlineStr">
        <is>
          <t>Présenter à Elisa</t>
        </is>
      </c>
    </row>
    <row r="12" ht="90" customHeight="1">
      <c r="A12" s="9" t="n">
        <v>46087</v>
      </c>
      <c r="B12" s="7" t="inlineStr">
        <is>
          <t>POH1224</t>
        </is>
      </c>
      <c r="C12" s="7" t="inlineStr">
        <is>
          <t>$DESIGN frexa EFC18098 = éval sur NM</t>
        </is>
      </c>
      <c r="D12" s="13" t="inlineStr">
        <is>
          <t>En cours</t>
        </is>
      </c>
      <c r="E12" s="13" t="n">
        <v>30</v>
      </c>
      <c r="F12" s="13" t="inlineStr">
        <is>
          <t>Trouver la pop virtuelle pour refaire eval sur modele final - introuvable :( /// update 19/03 : ai-je vraiment besoin de la pop virtuelle ? /// update : N:\MtpProject\sar441344\SIM0576\copula\Asian_only</t>
        </is>
      </c>
      <c r="G12" s="7" t="n"/>
      <c r="H12" s="7" t="inlineStr">
        <is>
          <t>EN STAND BY</t>
        </is>
      </c>
    </row>
    <row r="13">
      <c r="A13" s="9" t="n">
        <v>46093</v>
      </c>
      <c r="B13" s="7" t="inlineStr">
        <is>
          <t>Eval Design</t>
        </is>
      </c>
      <c r="C13" s="7" t="n"/>
      <c r="D13" s="7" t="inlineStr">
        <is>
          <t>À faire</t>
        </is>
      </c>
      <c r="E13" s="13" t="n">
        <v>0</v>
      </c>
      <c r="F13" s="7" t="n"/>
      <c r="G13" s="7" t="n"/>
      <c r="H13" s="7" t="n"/>
    </row>
    <row r="14">
      <c r="A14" s="10" t="n">
        <v>46099</v>
      </c>
      <c r="B14" s="14" t="inlineStr">
        <is>
          <t>Suite de la vie</t>
        </is>
      </c>
      <c r="C14" s="7" t="inlineStr">
        <is>
          <t xml:space="preserve">Apply PhD </t>
        </is>
      </c>
      <c r="D14" s="7" t="inlineStr">
        <is>
          <t>À faire</t>
        </is>
      </c>
      <c r="E14" s="13" t="n">
        <v>0</v>
      </c>
      <c r="F14" s="7" t="inlineStr">
        <is>
          <t>https://www.linkedin.com/posts/angelique-perrillat_principal-phd-modeling-activity-7444639890597806080-cC_i?utm_source=share&amp;utm_medium=member_desktop&amp;rcm=ACoAAB-hGfwBY-zEk-dTA3WEEF4HexIB34d02Hg</t>
        </is>
      </c>
      <c r="G14" s="7" t="inlineStr">
        <is>
          <t>a</t>
        </is>
      </c>
      <c r="H14" s="7" t="n"/>
    </row>
    <row r="15">
      <c r="C15" s="7" t="inlineStr">
        <is>
          <t>Apply M2</t>
        </is>
      </c>
      <c r="D15" s="7" t="inlineStr">
        <is>
          <t>À faire</t>
        </is>
      </c>
      <c r="E15" s="13" t="n">
        <v>0</v>
      </c>
      <c r="F15" s="7" t="inlineStr">
        <is>
          <t>M2 PK UPC / M2 labo MENTRE</t>
        </is>
      </c>
      <c r="G15" s="7" t="n"/>
      <c r="H15" s="7" t="n"/>
    </row>
    <row r="16">
      <c r="C16" s="15" t="inlineStr">
        <is>
          <t>Apply Interships</t>
        </is>
      </c>
      <c r="D16" s="7" t="inlineStr">
        <is>
          <t>À faire</t>
        </is>
      </c>
      <c r="E16" s="13" t="n">
        <v>0</v>
      </c>
      <c r="F16" s="11" t="inlineStr">
        <is>
          <t>https://careers.roche.com/global/en/job/ROCHGLOBAL202603107265EXTERNALENGLOBAL/Biostatistician-Intern-Basel-4-6-months?utm_source=linkedin&amp;utm_medium=phenom-feeds</t>
        </is>
      </c>
      <c r="G16" s="15" t="inlineStr">
        <is>
          <t>a</t>
        </is>
      </c>
    </row>
    <row r="17">
      <c r="A17" s="27" t="n">
        <v>46107</v>
      </c>
      <c r="B17" s="21" t="inlineStr">
        <is>
          <t>Frexa - Science</t>
        </is>
      </c>
      <c r="C17" s="21" t="inlineStr">
        <is>
          <t>Exploration FIMTYPE × VARCROSS complète (frexalimab)</t>
        </is>
      </c>
      <c r="D17" s="22" t="inlineStr">
        <is>
          <t>Terminé</t>
        </is>
      </c>
      <c r="E17" s="21" t="n">
        <v>100</v>
      </c>
      <c r="F17" s="23" t="inlineStr">
        <is>
          <t>testé FT 0/1/2/3 × VC 0/1 sur modèle complet /// FT=2+VC=1 = référence (seule combi cohérente avec erreur combinée) /// FT=1 : RSE absurdes (hypothèse C indép. de θ violée) /// FT=3 : FIM singulière sur frexalimab</t>
        </is>
      </c>
      <c r="G17" s="21" t="n"/>
      <c r="H17" s="23" t="inlineStr">
        <is>
          <t>valider par CTS ; tester sur modèle PSM</t>
        </is>
      </c>
    </row>
    <row r="18">
      <c r="A18" s="27" t="n">
        <v>46112</v>
      </c>
      <c r="B18" s="21" t="inlineStr">
        <is>
          <t>Frexa - Science</t>
        </is>
      </c>
      <c r="C18" s="21" t="inlineStr">
        <is>
          <t>Exploration APPROX sur PSM (6 combinaisons)</t>
        </is>
      </c>
      <c r="D18" s="22" t="inlineStr">
        <is>
          <t>Terminé</t>
        </is>
      </c>
      <c r="E18" s="21" t="n">
        <v>100</v>
      </c>
      <c r="F18" s="23" t="inlineStr">
        <is>
          <t>FT=2 × (FO/FOCE/FOCEI) × (VC=0/1) : meilleure = FOCEI+VC=1 (D-eff +78% vs FO) /// THETAs bons partout (6-28%) /// OMEGAs mauvais partout → dataset PSM sans ISC, à refaire</t>
        </is>
      </c>
      <c r="G18" s="21" t="n"/>
      <c r="H18" s="23" t="inlineStr">
        <is>
          <t>refaire dataset PSM avec ISC ; relancer même grille</t>
        </is>
      </c>
    </row>
    <row r="19">
      <c r="A19" s="27" t="n">
        <v>46113</v>
      </c>
      <c r="B19" s="21" t="inlineStr">
        <is>
          <t>Frexa - Science</t>
        </is>
      </c>
      <c r="C19" s="21" t="inlineStr">
        <is>
          <t>Trick FOCEI (REPL+$SIM) : implémenté et validé</t>
        </is>
      </c>
      <c r="D19" s="22" t="inlineStr">
        <is>
          <t>Terminé</t>
        </is>
      </c>
      <c r="E19" s="21" t="n">
        <v>100</v>
      </c>
      <c r="F19" s="23" t="inlineStr">
        <is>
          <t>$DATA REPL=100 + $SIM + GROUPSIZE=0.4 + MODE=0 /// CL 11%→5%, OMEGA(2,1) 211%→45%, OMEGA(5,5) 91%→48%, OFV -102.81→-107.15 /// MODE=0≈MODE=2 (OMEGAs identiques), MODE=1 = FIM singulière</t>
        </is>
      </c>
      <c r="G19" s="21" t="n"/>
      <c r="H19" s="23" t="inlineStr">
        <is>
          <t>comparer trick vs y-expectation par CTS</t>
        </is>
      </c>
    </row>
    <row r="20">
      <c r="A20" s="27" t="n">
        <v>46113</v>
      </c>
      <c r="B20" s="21" t="inlineStr">
        <is>
          <t>Frexa - Science</t>
        </is>
      </c>
      <c r="C20" s="21" t="inlineStr">
        <is>
          <t>Taxonomie complète options $DESIGN (8 groupes A-H)</t>
        </is>
      </c>
      <c r="D20" s="22" t="inlineStr">
        <is>
          <t>Terminé</t>
        </is>
      </c>
      <c r="E20" s="21" t="n">
        <v>100</v>
      </c>
      <c r="F20" s="23" t="inlineStr">
        <is>
          <t>groupes A-H : FIM / APPROX / erreur / algos / critères / séquentiel / robuste / avancé /// facteurs d'exploration : FIMTYPE × APPROX × Algo × OFVTYPE × Fenêtres</t>
        </is>
      </c>
      <c r="G20" s="21" t="n"/>
      <c r="H20" s="23" t="inlineStr">
        <is>
          <t>débuter exploration systématique</t>
        </is>
      </c>
    </row>
    <row r="21">
      <c r="A21" s="27" t="n">
        <v>46096</v>
      </c>
      <c r="B21" s="21" t="inlineStr">
        <is>
          <t>App Shiny</t>
        </is>
      </c>
      <c r="C21" s="21" t="inlineStr">
        <is>
          <t>App Shiny V4 post-processing $DESIGN</t>
        </is>
      </c>
      <c r="D21" s="22" t="inlineStr">
        <is>
          <t>Terminé</t>
        </is>
      </c>
      <c r="E21" s="21" t="n">
        <v>100</v>
      </c>
      <c r="F21" s="23" t="inlineStr">
        <is>
          <t>V4.3.2 sur main (PR #36) /// 13 modules, 123 tests unitaires /// 6 slots fichiers, pagination RSE, médiane RSE, CPU time, 7 exemples Bauer intégrés /// compatible RStudio Server R 4.2.0</t>
        </is>
      </c>
      <c r="G21" s="21" t="n"/>
      <c r="H21" s="23" t="inlineStr">
        <is>
          <t>Phase B : champ comparé unifié + Dataset Builder V5</t>
        </is>
      </c>
    </row>
    <row r="22">
      <c r="A22" s="27" t="n">
        <v>46113</v>
      </c>
      <c r="B22" s="21" t="inlineStr">
        <is>
          <t>Contrôle qualité FIM</t>
        </is>
      </c>
      <c r="C22" s="21" t="inlineStr">
        <is>
          <t>CTS N=200 : validation RSE FIM vs empirique</t>
        </is>
      </c>
      <c r="D22" s="24" t="inlineStr">
        <is>
          <t>À faire</t>
        </is>
      </c>
      <c r="E22" s="21" t="n">
        <v>0</v>
      </c>
      <c r="F22" s="23" t="inlineStr">
        <is>
          <t>protocole défini : FOCEI, N=200, rapporter taux convergence + CI RSE (2.5-97.5%) + boundary hits /// critère : RSE FIM dans ±20% du RSE CTS pour ≥80% des paramètres</t>
        </is>
      </c>
      <c r="G22" s="21" t="n"/>
      <c r="H22" s="23" t="inlineStr">
        <is>
          <t>lancer sur frexalimab PSM propre (avec ISC)</t>
        </is>
      </c>
    </row>
    <row r="23">
      <c r="A23" s="27" t="n">
        <v>46113</v>
      </c>
      <c r="B23" s="21" t="inlineStr">
        <is>
          <t>Frexa - Science</t>
        </is>
      </c>
      <c r="C23" s="21" t="inlineStr">
        <is>
          <t>Runs d'optimisation MAXEVAL&gt;0 sur frexalimab</t>
        </is>
      </c>
      <c r="D23" s="24" t="inlineStr">
        <is>
          <t>À faire</t>
        </is>
      </c>
      <c r="E23" s="21" t="n">
        <v>0</v>
      </c>
      <c r="F23" s="23" t="inlineStr">
        <is>
          <t>stratégie : optimiser en FO (rapide) puis évaluer en FOCEI+trick (réaliste) /// algo : RS→STGR→NELDER chaîné, D-optimalité en premier</t>
        </is>
      </c>
      <c r="G23" s="21" t="n"/>
      <c r="H23" s="23" t="inlineStr">
        <is>
          <t>lancer premiers runs ; comparer NELDER seul vs chaîné</t>
        </is>
      </c>
    </row>
    <row r="24">
      <c r="A24" s="27" t="n">
        <v>46140</v>
      </c>
      <c r="B24" s="21" t="inlineStr">
        <is>
          <t>Contrôle qualité FIM</t>
        </is>
      </c>
      <c r="C24" s="21" t="inlineStr">
        <is>
          <t>Positive control : répliquer sur warfarin (Bauer ex1)</t>
        </is>
      </c>
      <c r="D24" s="24" t="inlineStr">
        <is>
          <t>À faire</t>
        </is>
      </c>
      <c r="E24" s="21" t="n">
        <v>0</v>
      </c>
      <c r="F24" s="23" t="inlineStr">
        <is>
          <t>sanity check : reproduire RSE Bauer 2021 sur warfarin ex1 avec notre setup</t>
        </is>
      </c>
      <c r="G24" s="21" t="n"/>
      <c r="H24" s="23" t="inlineStr">
        <is>
          <t>à faire avant CTS frexalimab</t>
        </is>
      </c>
    </row>
    <row r="25">
      <c r="A25" s="27" t="n">
        <v>46099</v>
      </c>
      <c r="B25" s="21" t="inlineStr">
        <is>
          <t>Suite de la vie</t>
        </is>
      </c>
      <c r="C25" s="21" t="inlineStr">
        <is>
          <t>Abstract contrès junior (28 mai 2026)</t>
        </is>
      </c>
      <c r="D25" s="22" t="inlineStr">
        <is>
          <t>Terminé</t>
        </is>
      </c>
      <c r="E25" s="21" t="n">
        <v>100</v>
      </c>
      <c r="F25" s="23" t="inlineStr">
        <is>
          <t>accepté (validation Sanofi legal) /// présentation orale 5 min, public non-spécialiste /// thème : évaluation FIM rapide vs CTS + guide pratique $DESIGN</t>
        </is>
      </c>
      <c r="G25" s="21" t="n"/>
      <c r="H25" s="23" t="inlineStr">
        <is>
          <t>préparer les 5 slides</t>
        </is>
      </c>
    </row>
    <row r="26">
      <c r="A26" s="27" t="n">
        <v>46099</v>
      </c>
      <c r="B26" s="21" t="inlineStr">
        <is>
          <t>Suite de la vie</t>
        </is>
      </c>
      <c r="C26" s="21" t="inlineStr">
        <is>
          <t>Candidature Roche Bâle (stage/emploi)</t>
        </is>
      </c>
      <c r="D26" s="25" t="inlineStr">
        <is>
          <t>En cours</t>
        </is>
      </c>
      <c r="E26" s="21" t="n">
        <v>60</v>
      </c>
      <c r="F26" s="23" t="inlineStr">
        <is>
          <t>CV + cover letter prêts (4 variantes) /// offre : Biostatistician Intern Basel 4-6 months</t>
        </is>
      </c>
      <c r="G26" s="21" t="n"/>
      <c r="H26" s="23" t="inlineStr">
        <is>
          <t>soumettre la candidature</t>
        </is>
      </c>
    </row>
  </sheetData>
  <mergeCells count="3">
    <mergeCell ref="A2:A9"/>
    <mergeCell ref="B14:B16"/>
    <mergeCell ref="B2:B8"/>
  </mergeCells>
  <conditionalFormatting sqref="D2:D12">
    <cfRule type="expression" priority="1" dxfId="2">
      <formula>EXACT(D2,"À faire")</formula>
    </cfRule>
    <cfRule type="expression" priority="2" dxfId="1">
      <formula>EXACT(D2,"En cours")</formula>
    </cfRule>
    <cfRule type="expression" priority="3" dxfId="0">
      <formula>EXACT(D2,"Terminé")</formula>
    </cfRule>
  </conditionalFormatting>
  <conditionalFormatting sqref="E2:E16">
    <cfRule type="colorScale" priority="4">
      <colorScale>
        <cfvo type="num" val="0"/>
        <cfvo type="num" val="50"/>
        <cfvo type="num" val="100"/>
        <color rgb="FFF8D7DA"/>
        <color rgb="FFFFF3CD"/>
        <color rgb="FFD4EDDA"/>
      </colorScale>
    </cfRule>
  </conditionalFormatting>
  <dataValidations count="2">
    <dataValidation sqref="D2:D12" showDropDown="0" showInputMessage="0" showErrorMessage="0" allowBlank="1" type="list">
      <formula1>"À faire,En cours,Terminé"</formula1>
    </dataValidation>
    <dataValidation sqref="E2:E16" showDropDown="0" showInputMessage="0" showErrorMessage="0" allowBlank="1" type="decimal">
      <formula1>0</formula1>
      <formula2>100</formula2>
    </dataValidation>
  </dataValidations>
  <hyperlinks>
    <hyperlink xmlns:r="http://schemas.openxmlformats.org/officeDocument/2006/relationships" ref="F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190" zoomScaleNormal="190" workbookViewId="0">
      <selection activeCell="B23" sqref="B23"/>
    </sheetView>
  </sheetViews>
  <sheetFormatPr baseColWidth="10" defaultColWidth="9.140625" defaultRowHeight="15"/>
  <cols>
    <col width="30" customWidth="1" min="1" max="1"/>
    <col width="22" customWidth="1" min="2" max="2"/>
  </cols>
  <sheetData>
    <row r="1" ht="18.75" customHeight="1">
      <c r="A1" s="1" t="inlineStr">
        <is>
          <t>Tableau de bord</t>
        </is>
      </c>
    </row>
    <row r="2">
      <c r="A2" s="2" t="inlineStr">
        <is>
          <t>Indicateur</t>
        </is>
      </c>
      <c r="B2" s="2" t="inlineStr">
        <is>
          <t>Valeur</t>
        </is>
      </c>
    </row>
    <row r="3">
      <c r="A3" s="3" t="inlineStr">
        <is>
          <t>Date de génération</t>
        </is>
      </c>
      <c r="B3" s="3" t="inlineStr">
        <is>
          <t>02-Apr-2026 10:53</t>
        </is>
      </c>
    </row>
    <row r="4">
      <c r="A4" s="3" t="inlineStr">
        <is>
          <t>Total tâches</t>
        </is>
      </c>
      <c r="B4" s="3">
        <f>COUNTA('Suivi Tâches'!C2:C9)</f>
        <v/>
      </c>
    </row>
    <row r="5">
      <c r="A5" s="3" t="inlineStr">
        <is>
          <t>Tâches terminées</t>
        </is>
      </c>
      <c r="B5" s="3">
        <f>COUNTIF('Suivi Tâches'!D2:D9,"Terminé")</f>
        <v/>
      </c>
    </row>
    <row r="6">
      <c r="A6" s="3" t="inlineStr">
        <is>
          <t>Tâches en cours</t>
        </is>
      </c>
      <c r="B6" s="3">
        <f>COUNTIF('Suivi Tâches'!D2:D9,"En cours")</f>
        <v/>
      </c>
    </row>
    <row r="7">
      <c r="A7" s="3" t="inlineStr">
        <is>
          <t>Tâches à faire</t>
        </is>
      </c>
      <c r="B7" s="3">
        <f>COUNTIF('Suivi Tâches'!D2:D9,"À faire")</f>
        <v/>
      </c>
    </row>
    <row r="8">
      <c r="A8" s="3" t="inlineStr">
        <is>
          <t>Progression moyenne (%)</t>
        </is>
      </c>
      <c r="B8" s="3">
        <f>IFERROR(AVERAGE('Suivi Tâches'!E2:E9),0)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60" customWidth="1" min="5" max="5"/>
    <col width="15" customWidth="1" min="6" max="6"/>
  </cols>
  <sheetData>
    <row r="1">
      <c r="A1" s="28" t="inlineStr">
        <is>
          <t>Date</t>
        </is>
      </c>
      <c r="B1" s="28" t="inlineStr">
        <is>
          <t>Version</t>
        </is>
      </c>
      <c r="C1" s="28" t="inlineStr">
        <is>
          <t>Type</t>
        </is>
      </c>
      <c r="D1" s="28" t="inlineStr">
        <is>
          <t>Module / Zone</t>
        </is>
      </c>
      <c r="E1" s="28" t="inlineStr">
        <is>
          <t>Description</t>
        </is>
      </c>
      <c r="F1" s="28" t="inlineStr">
        <is>
          <t>PR / Commit</t>
        </is>
      </c>
    </row>
    <row r="2" ht="18" customHeight="1">
      <c r="A2" s="29" t="n">
        <v>46079</v>
      </c>
      <c r="B2" s="21" t="inlineStr">
        <is>
          <t>V1.0</t>
        </is>
      </c>
      <c r="C2" s="22" t="inlineStr">
        <is>
          <t>Majeure</t>
        </is>
      </c>
      <c r="D2" s="21" t="inlineStr">
        <is>
          <t>App globale</t>
        </is>
      </c>
      <c r="E2" s="23" t="inlineStr">
        <is>
          <t>V1 Shiny : lecture .ext + affichage RSE de base</t>
        </is>
      </c>
      <c r="F2" s="21" t="inlineStr"/>
    </row>
    <row r="3" ht="18" customHeight="1">
      <c r="A3" s="29" t="n">
        <v>46080</v>
      </c>
      <c r="B3" s="21" t="inlineStr">
        <is>
          <t>V1.1</t>
        </is>
      </c>
      <c r="C3" s="22" t="inlineStr">
        <is>
          <t>Majeure</t>
        </is>
      </c>
      <c r="D3" s="21" t="inlineStr">
        <is>
          <t>Parsers R</t>
        </is>
      </c>
      <c r="E3" s="23" t="inlineStr">
        <is>
          <t>Script R lecture .ext + résumé prior NWPRI</t>
        </is>
      </c>
      <c r="F3" s="21" t="inlineStr"/>
    </row>
    <row r="4" ht="18" customHeight="1">
      <c r="A4" s="29" t="n">
        <v>46082</v>
      </c>
      <c r="B4" s="21" t="inlineStr">
        <is>
          <t>V2.0</t>
        </is>
      </c>
      <c r="C4" s="22" t="inlineStr">
        <is>
          <t>Majeure</t>
        </is>
      </c>
      <c r="D4" s="21" t="inlineStr">
        <is>
          <t>App globale</t>
        </is>
      </c>
      <c r="E4" s="23" t="inlineStr">
        <is>
          <t>V2 Shiny : sidebar nav, upload multi-fichiers, onglets RSE/FIM/convergence</t>
        </is>
      </c>
      <c r="F4" s="21" t="inlineStr"/>
    </row>
    <row r="5" ht="18" customHeight="1">
      <c r="A5" s="29" t="n">
        <v>46086</v>
      </c>
      <c r="B5" s="21" t="inlineStr">
        <is>
          <t>V2.1</t>
        </is>
      </c>
      <c r="C5" s="30" t="inlineStr">
        <is>
          <t>Mineure</t>
        </is>
      </c>
      <c r="D5" s="21" t="inlineStr">
        <is>
          <t>Module RSE</t>
        </is>
      </c>
      <c r="E5" s="23" t="inlineStr">
        <is>
          <t>Ajout plot waterfall RSE + export CSV</t>
        </is>
      </c>
      <c r="F5" s="21" t="inlineStr"/>
    </row>
    <row r="6" ht="18" customHeight="1">
      <c r="A6" s="29" t="n">
        <v>46089</v>
      </c>
      <c r="B6" s="21" t="inlineStr">
        <is>
          <t>V2.2</t>
        </is>
      </c>
      <c r="C6" s="31" t="inlineStr">
        <is>
          <t>Fix</t>
        </is>
      </c>
      <c r="D6" s="21" t="inlineStr">
        <is>
          <t>Module upload</t>
        </is>
      </c>
      <c r="E6" s="23" t="inlineStr">
        <is>
          <t>Fix fileInput dans renderUI (ne pas mettre dans reactive modifié par handler)</t>
        </is>
      </c>
      <c r="F6" s="21" t="inlineStr"/>
    </row>
    <row r="7" ht="18" customHeight="1">
      <c r="A7" s="29" t="n">
        <v>46091</v>
      </c>
      <c r="B7" s="21" t="inlineStr">
        <is>
          <t>V2.3</t>
        </is>
      </c>
      <c r="C7" s="30" t="inlineStr">
        <is>
          <t>Mineure</t>
        </is>
      </c>
      <c r="D7" s="21" t="inlineStr">
        <is>
          <t>Module FIM</t>
        </is>
      </c>
      <c r="E7" s="23" t="inlineStr">
        <is>
          <t>Heatmap FIM + corrélations</t>
        </is>
      </c>
      <c r="F7" s="21" t="inlineStr"/>
    </row>
    <row r="8" ht="18" customHeight="1">
      <c r="A8" s="29" t="n">
        <v>46093</v>
      </c>
      <c r="B8" s="21" t="inlineStr">
        <is>
          <t>V3.0</t>
        </is>
      </c>
      <c r="C8" s="22" t="inlineStr">
        <is>
          <t>Majeure</t>
        </is>
      </c>
      <c r="D8" s="21" t="inlineStr">
        <is>
          <t>App globale</t>
        </is>
      </c>
      <c r="E8" s="23" t="inlineStr">
        <is>
          <t>V3 : architecture 13 modules, CSS variables, drawer, metric cards</t>
        </is>
      </c>
      <c r="F8" s="21" t="inlineStr"/>
    </row>
    <row r="9" ht="18" customHeight="1">
      <c r="A9" s="29" t="n">
        <v>46095</v>
      </c>
      <c r="B9" s="21" t="inlineStr">
        <is>
          <t>V3.1</t>
        </is>
      </c>
      <c r="C9" s="30" t="inlineStr">
        <is>
          <t>Mineure</t>
        </is>
      </c>
      <c r="D9" s="21" t="inlineStr">
        <is>
          <t>Module exemples</t>
        </is>
      </c>
      <c r="E9" s="23" t="inlineStr">
        <is>
          <t>Intégration exemples Bauer 2021 (ex1-7) dans l'app</t>
        </is>
      </c>
      <c r="F9" s="21" t="inlineStr"/>
    </row>
    <row r="10" ht="18" customHeight="1">
      <c r="A10" s="29" t="n">
        <v>46097</v>
      </c>
      <c r="B10" s="21" t="inlineStr">
        <is>
          <t>V3.2</t>
        </is>
      </c>
      <c r="C10" s="31" t="inlineStr">
        <is>
          <t>Fix</t>
        </is>
      </c>
      <c r="D10" s="21" t="inlineStr">
        <is>
          <t>Bootstrap</t>
        </is>
      </c>
      <c r="E10" s="23" t="inlineStr">
        <is>
          <t>Fix Bootstrap 3 : btn-default (shiny 1.7.1, pas btn-outline-secondary)</t>
        </is>
      </c>
      <c r="F10" s="21" t="inlineStr"/>
    </row>
    <row r="11" ht="18" customHeight="1">
      <c r="A11" s="29" t="n">
        <v>46099</v>
      </c>
      <c r="B11" s="21" t="inlineStr">
        <is>
          <t>V3.3</t>
        </is>
      </c>
      <c r="C11" s="30" t="inlineStr">
        <is>
          <t>Mineure</t>
        </is>
      </c>
      <c r="D11" s="21" t="inlineStr">
        <is>
          <t>Module compare</t>
        </is>
      </c>
      <c r="E11" s="23" t="inlineStr">
        <is>
          <t>Comparaison multi-runs côte à côte</t>
        </is>
      </c>
      <c r="F11" s="21" t="inlineStr"/>
    </row>
    <row r="12" ht="18" customHeight="1">
      <c r="A12" s="29" t="n">
        <v>46101</v>
      </c>
      <c r="B12" s="21" t="inlineStr">
        <is>
          <t>V3.4</t>
        </is>
      </c>
      <c r="C12" s="30" t="inlineStr">
        <is>
          <t>Mineure</t>
        </is>
      </c>
      <c r="D12" s="21" t="inlineStr">
        <is>
          <t>Module times</t>
        </is>
      </c>
      <c r="E12" s="23" t="inlineStr">
        <is>
          <t>Affichage temps optimaux depuis .tab</t>
        </is>
      </c>
      <c r="F12" s="21" t="inlineStr"/>
    </row>
    <row r="13" ht="18" customHeight="1">
      <c r="A13" s="29" t="n">
        <v>46103</v>
      </c>
      <c r="B13" s="21" t="inlineStr">
        <is>
          <t>V3.5</t>
        </is>
      </c>
      <c r="C13" s="32" t="inlineStr">
        <is>
          <t>Refacto</t>
        </is>
      </c>
      <c r="D13" s="21" t="inlineStr">
        <is>
          <t>Parsers R</t>
        </is>
      </c>
      <c r="E13" s="23" t="inlineStr">
        <is>
          <t>Refacto parse_design_outputs.R : get_rse(), get_relativeinf(), get_d_criterion()</t>
        </is>
      </c>
      <c r="F13" s="21" t="inlineStr"/>
    </row>
    <row r="14" ht="18" customHeight="1">
      <c r="A14" s="29" t="n">
        <v>46105</v>
      </c>
      <c r="B14" s="21" t="inlineStr">
        <is>
          <t>V3.6</t>
        </is>
      </c>
      <c r="C14" s="30" t="inlineStr">
        <is>
          <t>Mineure</t>
        </is>
      </c>
      <c r="D14" s="21" t="inlineStr">
        <is>
          <t>Module prior</t>
        </is>
      </c>
      <c r="E14" s="23" t="inlineStr">
        <is>
          <t>Lecture .coi + heatmap FIM séquentielle</t>
        </is>
      </c>
      <c r="F14" s="21" t="inlineStr"/>
    </row>
    <row r="15" ht="18" customHeight="1">
      <c r="A15" s="29" t="n">
        <v>46107</v>
      </c>
      <c r="B15" s="21" t="inlineStr">
        <is>
          <t>V4.0</t>
        </is>
      </c>
      <c r="C15" s="22" t="inlineStr">
        <is>
          <t>Majeure</t>
        </is>
      </c>
      <c r="D15" s="21" t="inlineStr">
        <is>
          <t>App globale</t>
        </is>
      </c>
      <c r="E15" s="23" t="inlineStr">
        <is>
          <t>V4 : 6 slots fichiers, pagination RSE, médiane RSE</t>
        </is>
      </c>
      <c r="F15" s="21" t="inlineStr">
        <is>
          <t>PR #33</t>
        </is>
      </c>
    </row>
    <row r="16" ht="18" customHeight="1">
      <c r="A16" s="29" t="n">
        <v>46109</v>
      </c>
      <c r="B16" s="21" t="inlineStr">
        <is>
          <t>V4.1</t>
        </is>
      </c>
      <c r="C16" s="30" t="inlineStr">
        <is>
          <t>Mineure</t>
        </is>
      </c>
      <c r="D16" s="21" t="inlineStr">
        <is>
          <t>Module raw</t>
        </is>
      </c>
      <c r="E16" s="23" t="inlineStr">
        <is>
          <t>Affichage fichiers bruts (.ext, .shk, .coi, .res)</t>
        </is>
      </c>
      <c r="F16" s="21" t="inlineStr"/>
    </row>
    <row r="17" ht="18" customHeight="1">
      <c r="A17" s="29" t="n">
        <v>46111</v>
      </c>
      <c r="B17" s="21" t="inlineStr">
        <is>
          <t>V4.2</t>
        </is>
      </c>
      <c r="C17" s="31" t="inlineStr">
        <is>
          <t>Fix</t>
        </is>
      </c>
      <c r="D17" s="21" t="inlineStr">
        <is>
          <t>Multi-run</t>
        </is>
      </c>
      <c r="E17" s="23" t="inlineStr">
        <is>
          <t>Fix vapply name guards + effective_tab_data fallback multi-run sans .tab principal</t>
        </is>
      </c>
      <c r="F17" s="21" t="inlineStr">
        <is>
          <t>PR #34 / b975bdf</t>
        </is>
      </c>
    </row>
    <row r="18" ht="18" customHeight="1">
      <c r="A18" s="29" t="n">
        <v>46112</v>
      </c>
      <c r="B18" s="21" t="inlineStr">
        <is>
          <t>V4.3</t>
        </is>
      </c>
      <c r="C18" s="30" t="inlineStr">
        <is>
          <t>Mineure</t>
        </is>
      </c>
      <c r="D18" s="21" t="inlineStr">
        <is>
          <t>Module convergence</t>
        </is>
      </c>
      <c r="E18" s="23" t="inlineStr">
        <is>
          <t>CPU time affiché + plot convergence amélioré</t>
        </is>
      </c>
      <c r="F18" s="21" t="inlineStr"/>
    </row>
    <row r="19" ht="18" customHeight="1">
      <c r="A19" s="29" t="n">
        <v>46113</v>
      </c>
      <c r="B19" s="21" t="inlineStr">
        <is>
          <t>V4.3.1</t>
        </is>
      </c>
      <c r="C19" s="31" t="inlineStr">
        <is>
          <t>Fix</t>
        </is>
      </c>
      <c r="D19" s="21" t="inlineStr">
        <is>
          <t>Navigation exemples</t>
        </is>
      </c>
      <c r="E19" s="23" t="inlineStr">
        <is>
          <t>Fix navigation multi-étapes ex2/ex4 (architecture steps)</t>
        </is>
      </c>
      <c r="F19" s="21" t="inlineStr">
        <is>
          <t>PR #35</t>
        </is>
      </c>
    </row>
    <row r="20" ht="18" customHeight="1">
      <c r="A20" s="29" t="n">
        <v>46113</v>
      </c>
      <c r="B20" s="21" t="inlineStr">
        <is>
          <t>V4.3.2</t>
        </is>
      </c>
      <c r="C20" s="22" t="inlineStr">
        <is>
          <t>Majeure</t>
        </is>
      </c>
      <c r="D20" s="21" t="inlineStr">
        <is>
          <t>App globale</t>
        </is>
      </c>
      <c r="E20" s="23" t="inlineStr">
        <is>
          <t>6 slots, pagination RSE, RSE médian, CPU time — version actuelle sur main</t>
        </is>
      </c>
      <c r="F20" s="21" t="inlineStr">
        <is>
          <t>PR #36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2026-02-27T08:46:31Z</dcterms:created>
  <dcterms:modified xmlns:dcterms="http://purl.org/dc/terms/" xmlns:xsi="http://www.w3.org/2001/XMLSchema-instance" xsi:type="dcterms:W3CDTF">2026-04-02T08:53:23Z</dcterms:modified>
  <cp:lastModifiedBy>Ragued, Abdallah /FR</cp:lastModifiedBy>
</cp:coreProperties>
</file>