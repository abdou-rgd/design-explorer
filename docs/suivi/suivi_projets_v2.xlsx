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ience" sheetId="2" state="visible" r:id="rId2"/>
    <sheet xmlns:r="http://schemas.openxmlformats.org/officeDocument/2006/relationships" name="App Shiny Code" sheetId="3" state="visible" r:id="rId3"/>
    <sheet xmlns:r="http://schemas.openxmlformats.org/officeDocument/2006/relationships" name="Documentation" sheetId="4" state="visible" r:id="rId4"/>
    <sheet xmlns:r="http://schemas.openxmlformats.org/officeDocument/2006/relationships" name="Suite Carriere" sheetId="5" state="visible" r:id="rId5"/>
    <sheet xmlns:r="http://schemas.openxmlformats.org/officeDocument/2006/relationships" name="Changelog App" sheetId="6" state="visible" r:id="rId6"/>
    <sheet xmlns:r="http://schemas.openxmlformats.org/officeDocument/2006/relationships" name="Reunions" sheetId="7" state="visible" r:id="rId7"/>
  </sheets>
  <definedNames>
    <definedName name="_xlnm._FilterDatabase" localSheetId="1" hidden="1">'Science'!$A$2:$I$17</definedName>
    <definedName name="_xlnm._FilterDatabase" localSheetId="2" hidden="1">'App Shiny Code'!$A$2:$I$5</definedName>
    <definedName name="_xlnm._FilterDatabase" localSheetId="3" hidden="1">'Documentation'!$A$2:$I$3</definedName>
    <definedName name="_xlnm._FilterDatabase" localSheetId="4" hidden="1">'Suite Carriere'!$A$2:$I$7</definedName>
    <definedName name="_xlnm._FilterDatabase" localSheetId="5" hidden="1">'Changelog App'!$A$2:$F$21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\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10"/>
    </font>
  </fonts>
  <fills count="16">
    <fill>
      <patternFill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DBEAFE"/>
        <bgColor rgb="FFE5E7EB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EE2E2"/>
      </patternFill>
    </fill>
    <fill>
      <patternFill patternType="solid">
        <fgColor rgb="FFF3E8FF"/>
        <bgColor rgb="FFE5E7EB"/>
      </patternFill>
    </fill>
    <fill>
      <patternFill patternType="solid">
        <fgColor rgb="FFE5E7EB"/>
        <bgColor rgb="FFDBEAFE"/>
      </patternFill>
    </fill>
    <fill>
      <patternFill patternType="solid">
        <fgColor rgb="FF374151"/>
        <bgColor rgb="FF1E3A5F"/>
      </patternFill>
    </fill>
    <fill>
      <patternFill patternType="solid">
        <fgColor rgb="FFFEE2E2"/>
        <bgColor rgb="FFF3E8FF"/>
      </patternFill>
    </fill>
    <fill>
      <patternFill patternType="solid">
        <fgColor rgb="FF2563EB"/>
        <bgColor rgb="FF0066CC"/>
      </patternFill>
    </fill>
    <fill>
      <patternFill patternType="solid">
        <fgColor rgb="FFD1FAE5"/>
        <bgColor rgb="FFDCFCE7"/>
      </patternFill>
    </fill>
    <fill>
      <patternFill patternType="solid">
        <fgColor rgb="FF16A34A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9333EA"/>
        <bgColor rgb="FF993366"/>
      </patternFill>
    </fill>
    <fill>
      <patternFill patternType="solid">
        <fgColor rgb="FFF9FAFB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9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9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9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top" wrapText="1"/>
    </xf>
    <xf numFmtId="164" fontId="0" fillId="5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top" wrapText="1"/>
    </xf>
    <xf numFmtId="164" fontId="0" fillId="9" borderId="1" applyAlignment="1" pivotButton="0" quotePrefix="0" xfId="0">
      <alignment horizontal="general" vertical="top" wrapText="1"/>
    </xf>
    <xf numFmtId="0" fontId="10" fillId="10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general" vertical="top" wrapText="1"/>
    </xf>
    <xf numFmtId="164" fontId="0" fillId="11" borderId="1" applyAlignment="1" pivotButton="0" quotePrefix="0" xfId="0">
      <alignment horizontal="general" vertical="top" wrapText="1"/>
    </xf>
    <xf numFmtId="0" fontId="10" fillId="12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general" vertical="top"/>
    </xf>
    <xf numFmtId="0" fontId="11" fillId="3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/>
    </xf>
    <xf numFmtId="0" fontId="11" fillId="4" borderId="1" applyAlignment="1" pivotButton="0" quotePrefix="0" xfId="0">
      <alignment horizontal="general" vertical="top" wrapText="1"/>
    </xf>
    <xf numFmtId="0" fontId="11" fillId="9" borderId="1" applyAlignment="1" pivotButton="0" quotePrefix="0" xfId="0">
      <alignment horizontal="general" vertical="top"/>
    </xf>
    <xf numFmtId="0" fontId="11" fillId="9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/>
    </xf>
    <xf numFmtId="0" fontId="11" fillId="6" borderId="1" applyAlignment="1" pivotButton="0" quotePrefix="0" xfId="0">
      <alignment horizontal="general" vertical="top" wrapText="1"/>
    </xf>
    <xf numFmtId="0" fontId="10" fillId="8" borderId="0" applyAlignment="1" pivotButton="0" quotePrefix="0" xfId="0">
      <alignment horizontal="center" vertical="center"/>
    </xf>
    <xf numFmtId="0" fontId="11" fillId="1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9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9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9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top" wrapText="1"/>
    </xf>
    <xf numFmtId="164" fontId="0" fillId="5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top" wrapText="1"/>
    </xf>
    <xf numFmtId="164" fontId="0" fillId="9" borderId="1" applyAlignment="1" pivotButton="0" quotePrefix="0" xfId="0">
      <alignment horizontal="general" vertical="top" wrapText="1"/>
    </xf>
    <xf numFmtId="0" fontId="10" fillId="10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general" vertical="top" wrapText="1"/>
    </xf>
    <xf numFmtId="164" fontId="0" fillId="11" borderId="1" applyAlignment="1" pivotButton="0" quotePrefix="0" xfId="0">
      <alignment horizontal="general" vertical="top" wrapText="1"/>
    </xf>
    <xf numFmtId="0" fontId="10" fillId="12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general" vertical="top"/>
    </xf>
    <xf numFmtId="0" fontId="11" fillId="3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/>
    </xf>
    <xf numFmtId="0" fontId="11" fillId="4" borderId="1" applyAlignment="1" pivotButton="0" quotePrefix="0" xfId="0">
      <alignment horizontal="general" vertical="top" wrapText="1"/>
    </xf>
    <xf numFmtId="0" fontId="11" fillId="9" borderId="1" applyAlignment="1" pivotButton="0" quotePrefix="0" xfId="0">
      <alignment horizontal="general" vertical="top"/>
    </xf>
    <xf numFmtId="0" fontId="11" fillId="9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/>
    </xf>
    <xf numFmtId="0" fontId="11" fillId="6" borderId="1" applyAlignment="1" pivotButton="0" quotePrefix="0" xfId="0">
      <alignment horizontal="general" vertical="top" wrapText="1"/>
    </xf>
    <xf numFmtId="0" fontId="10" fillId="8" borderId="0" applyAlignment="1" pivotButton="0" quotePrefix="0" xfId="0">
      <alignment horizontal="center" vertical="center"/>
    </xf>
    <xf numFmtId="0" fontId="11" fillId="1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2563EB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9333EA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E7EB"/>
      <rgbColor rgb="FF808080"/>
      <rgbColor rgb="FF9999FF"/>
      <rgbColor rgb="FF9333EA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9FAFB"/>
      <rgbColor rgb="FFF3E8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1E3A5F"/>
      <rgbColor rgb="FF16A34A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E3A5F"/>
    <outlinePr summaryBelow="1" summaryRight="1"/>
    <pageSetUpPr fitToPage="0"/>
  </sheetPr>
  <dimension ref="A1:H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44" min="1" max="1"/>
    <col width="20" customWidth="1" style="44" min="2" max="2"/>
    <col width="40" customWidth="1" style="44" min="3" max="3"/>
    <col width="12" customWidth="1" style="44" min="4" max="5"/>
    <col width="16" customWidth="1" style="44" min="6" max="6"/>
    <col width="45" customWidth="1" style="44" min="7" max="8"/>
  </cols>
  <sheetData>
    <row r="1" ht="39.75" customHeight="1" s="45">
      <c r="A1" s="46" t="inlineStr">
        <is>
          <t>Suivi de Stage — Tableau de Bord</t>
        </is>
      </c>
    </row>
    <row r="2" ht="18" customHeight="1" s="45">
      <c r="A2" s="47" t="inlineStr">
        <is>
          <t>Mis à jour le 13/04/2026</t>
        </is>
      </c>
    </row>
    <row r="3" ht="9.75" customHeight="1" s="45"/>
    <row r="4" ht="30" customHeight="1" s="45">
      <c r="A4" s="48" t="inlineStr">
        <is>
          <t>Catégorie</t>
        </is>
      </c>
      <c r="B4" s="48" t="inlineStr">
        <is>
          <t>Total</t>
        </is>
      </c>
      <c r="C4" s="48" t="inlineStr">
        <is>
          <t>Terminées</t>
        </is>
      </c>
      <c r="D4" s="48" t="inlineStr">
        <is>
          <t>En cours</t>
        </is>
      </c>
      <c r="E4" s="48" t="inlineStr">
        <is>
          <t>A faire</t>
        </is>
      </c>
      <c r="F4" s="48" t="inlineStr">
        <is>
          <t>Progression moy. (%)</t>
        </is>
      </c>
    </row>
    <row r="5" ht="27.75" customHeight="1" s="45">
      <c r="A5" s="49" t="inlineStr">
        <is>
          <t>Science &amp; Recherche</t>
        </is>
      </c>
      <c r="B5" s="50">
        <f>COUNTA(Science!A:A)-1</f>
        <v/>
      </c>
      <c r="C5" s="50">
        <f>COUNTIF(Science!D:D,"Terminé")</f>
        <v/>
      </c>
      <c r="D5" s="50">
        <f>COUNTIF(Science!D:D,"En cours")</f>
        <v/>
      </c>
      <c r="E5" s="50">
        <f>COUNTIF(Science!D:D,"À faire")</f>
        <v/>
      </c>
      <c r="F5" s="51">
        <f>IFERROR(AVERAGEIF(Science!D:D,"&lt;&gt;Statut",Science!E:E)/100,0)</f>
        <v/>
      </c>
    </row>
    <row r="6" ht="27.75" customHeight="1" s="45">
      <c r="A6" s="52" t="inlineStr">
        <is>
          <t>App Shiny &amp; Code</t>
        </is>
      </c>
      <c r="B6" s="53">
        <f>COUNTA('App Shiny Code'!A:A)-1</f>
        <v/>
      </c>
      <c r="C6" s="53">
        <f>COUNTIF('App Shiny Code'!D:D,"Terminé")</f>
        <v/>
      </c>
      <c r="D6" s="53">
        <f>COUNTIF('App Shiny Code'!D:D,"En cours")</f>
        <v/>
      </c>
      <c r="E6" s="53">
        <f>COUNTIF('App Shiny Code'!D:D,"À faire")</f>
        <v/>
      </c>
      <c r="F6" s="54">
        <f>IFERROR(AVERAGEIF('App Shiny Code'!D:D,"&lt;&gt;Statut",'App Shiny Code'!E:E)/100,0)</f>
        <v/>
      </c>
    </row>
    <row r="7" ht="27.75" customHeight="1" s="45">
      <c r="A7" s="55" t="inlineStr">
        <is>
          <t>Documentation</t>
        </is>
      </c>
      <c r="B7" s="56">
        <f>COUNTA(Documentation!A:A)-1</f>
        <v/>
      </c>
      <c r="C7" s="56">
        <f>COUNTIF(Documentation!D:D,"Terminé")</f>
        <v/>
      </c>
      <c r="D7" s="56">
        <f>COUNTIF(Documentation!D:D,"En cours")</f>
        <v/>
      </c>
      <c r="E7" s="56">
        <f>COUNTIF(Documentation!D:D,"À faire")</f>
        <v/>
      </c>
      <c r="F7" s="57">
        <f>IFERROR(AVERAGEIF(Documentation!D:D,"&lt;&gt;Statut",Documentation!E:E)/100,0)</f>
        <v/>
      </c>
    </row>
    <row r="8" ht="27.75" customHeight="1" s="45">
      <c r="A8" s="58" t="inlineStr">
        <is>
          <t>Suite de carrière</t>
        </is>
      </c>
      <c r="B8" s="59">
        <f>COUNTA('Suite Carriere'!A:A)-1</f>
        <v/>
      </c>
      <c r="C8" s="59">
        <f>COUNTIF('Suite Carriere'!D:D,"Terminé")</f>
        <v/>
      </c>
      <c r="D8" s="59">
        <f>COUNTIF('Suite Carriere'!D:D,"En cours")</f>
        <v/>
      </c>
      <c r="E8" s="59">
        <f>COUNTIF('Suite Carriere'!D:D,"À faire")</f>
        <v/>
      </c>
      <c r="F8" s="60">
        <f>IFERROR(AVERAGEIF('Suite Carriere'!D:D,"&lt;&gt;Statut",'Suite Carriere'!E:E)/100,0)</f>
        <v/>
      </c>
    </row>
    <row r="9" ht="27.75" customHeight="1" s="45">
      <c r="A9" s="61" t="inlineStr">
        <is>
          <t>TOTAL</t>
        </is>
      </c>
      <c r="B9" s="61">
        <f>SUM(B5:B8)</f>
        <v/>
      </c>
      <c r="C9" s="61">
        <f>SUM(C5:C8)</f>
        <v/>
      </c>
      <c r="D9" s="61">
        <f>SUM(D5:D8)</f>
        <v/>
      </c>
      <c r="E9" s="61">
        <f>SUM(E5:E8)</f>
        <v/>
      </c>
      <c r="F9" s="62">
        <f>IFERROR(AVERAGE(F5:F8),0)</f>
        <v/>
      </c>
    </row>
    <row r="10" ht="9.75" customHeight="1" s="45"/>
    <row r="11" ht="27.75" customHeight="1" s="45">
      <c r="A11" s="63" t="inlineStr">
        <is>
          <t>Taches actives (En cours + A faire)</t>
        </is>
      </c>
    </row>
    <row r="12" ht="30" customHeight="1" s="45">
      <c r="A12" s="64" t="inlineStr">
        <is>
          <t>Catégorie</t>
        </is>
      </c>
      <c r="B12" s="64" t="inlineStr">
        <is>
          <t>Projet / Thème</t>
        </is>
      </c>
      <c r="C12" s="64" t="inlineStr">
        <is>
          <t>Tâche</t>
        </is>
      </c>
      <c r="D12" s="64" t="inlineStr">
        <is>
          <t>Statut</t>
        </is>
      </c>
      <c r="E12" s="64" t="inlineStr">
        <is>
          <t>Priorité</t>
        </is>
      </c>
      <c r="F12" s="64" t="inlineStr">
        <is>
          <t>Progression (%)</t>
        </is>
      </c>
      <c r="G12" s="64" t="inlineStr">
        <is>
          <t>Avancement</t>
        </is>
      </c>
      <c r="H12" s="64" t="inlineStr">
        <is>
          <t>Prochaines étapes</t>
        </is>
      </c>
    </row>
    <row r="13" ht="45" customHeight="1" s="45">
      <c r="A13" s="65" t="inlineStr">
        <is>
          <t>Science &amp; Recherche</t>
        </is>
      </c>
      <c r="B13" s="65" t="inlineStr">
        <is>
          <t>Frexa - BAY0130</t>
        </is>
      </c>
      <c r="C13" s="65" t="inlineStr">
        <is>
          <t>Réaliser l’évaluation du Frexa</t>
        </is>
      </c>
      <c r="D13" s="65" t="inlineStr">
        <is>
          <t>En cours</t>
        </is>
      </c>
      <c r="E13" s="65" t="inlineStr">
        <is>
          <t>Haute</t>
        </is>
      </c>
      <c r="F13" s="66" t="n">
        <v>90</v>
      </c>
      <c r="G13" s="65" t="inlineStr">
        <is>
          <t>baseline FIM ok /// SSE validation 24 configs -&gt; FOCEI+FT1+VC0 recommande (79%) /// dataset SoA corrige (ISC, 80 patients)</t>
        </is>
      </c>
      <c r="H13" s="65" t="inlineStr">
        <is>
          <t>optimisation MAXEVAL&gt;0 sur SoA ; CTS N=200 validation finale</t>
        </is>
      </c>
    </row>
    <row r="14" ht="45" customHeight="1" s="45">
      <c r="A14" s="65" t="inlineStr">
        <is>
          <t>Science &amp; Recherche</t>
        </is>
      </c>
      <c r="B14" s="65" t="inlineStr">
        <is>
          <t>Frexa - BAY0130</t>
        </is>
      </c>
      <c r="C14" s="65" t="inlineStr">
        <is>
          <t>Choisir les algorithmes pertinents (simplex ? Fedorov ? Etc)</t>
        </is>
      </c>
      <c r="D14" s="65" t="inlineStr">
        <is>
          <t>En cours</t>
        </is>
      </c>
      <c r="E14" s="65" t="inlineStr">
        <is>
          <t>Haute</t>
        </is>
      </c>
      <c r="F14" s="66" t="n">
        <v>50</v>
      </c>
      <c r="G14" s="65" t="inlineStr">
        <is>
          <t>taxonomie complète $DESIGN en 8 groupes (A-H) faite /// algos : NELDER (déterministe), RS/STGR (stochastiques), FEDOROV/...</t>
        </is>
      </c>
      <c r="H14" s="65" t="inlineStr">
        <is>
          <t>lancer premiers runs d'optimisation sur frexalimab PSM</t>
        </is>
      </c>
    </row>
    <row r="15" ht="45" customHeight="1" s="45">
      <c r="A15" s="65" t="inlineStr">
        <is>
          <t>Science &amp; Recherche</t>
        </is>
      </c>
      <c r="B15" s="65" t="inlineStr">
        <is>
          <t>POH1224</t>
        </is>
      </c>
      <c r="C15" s="65" t="inlineStr">
        <is>
          <t>$DESIGN frexa EFC18098 = éval sur NM</t>
        </is>
      </c>
      <c r="D15" s="65" t="inlineStr">
        <is>
          <t>En cours</t>
        </is>
      </c>
      <c r="E15" s="65" t="inlineStr">
        <is>
          <t>Moyenne</t>
        </is>
      </c>
      <c r="F15" s="66" t="n">
        <v>30</v>
      </c>
      <c r="G15" s="65" t="inlineStr">
        <is>
          <t>Trouver la pop virtuelle pour refaire eval sur modele final - introuvable :( /// update 19/03 : ai-je vraiment besoin de...</t>
        </is>
      </c>
      <c r="H15" s="65" t="inlineStr">
        <is>
          <t>EN STAND BY</t>
        </is>
      </c>
    </row>
    <row r="16" ht="45" customHeight="1" s="45">
      <c r="A16" s="67" t="inlineStr">
        <is>
          <t>Science &amp; Recherche</t>
        </is>
      </c>
      <c r="B16" s="67" t="inlineStr">
        <is>
          <t>Contrôle qualité FIM</t>
        </is>
      </c>
      <c r="C16" s="67" t="inlineStr">
        <is>
          <t>CTS N=200 : validation RSE FIM vs empirique</t>
        </is>
      </c>
      <c r="D16" s="67" t="inlineStr">
        <is>
          <t>À faire</t>
        </is>
      </c>
      <c r="E16" s="67" t="inlineStr">
        <is>
          <t>Moyenne</t>
        </is>
      </c>
      <c r="F16" s="68" t="n">
        <v>0</v>
      </c>
      <c r="G16" s="67" t="inlineStr">
        <is>
          <t>protocole défini : FOCEI, N=200, rapporter taux convergence + CI RSE (2.5-97.5%) + boundary hits /// critère : RSE FIM d...</t>
        </is>
      </c>
      <c r="H16" s="67" t="inlineStr">
        <is>
          <t>lancer sur frexalimab PSM propre (avec ISC)</t>
        </is>
      </c>
    </row>
    <row r="17" ht="45" customHeight="1" s="45">
      <c r="A17" s="67" t="inlineStr">
        <is>
          <t>Science &amp; Recherche</t>
        </is>
      </c>
      <c r="B17" s="67" t="inlineStr">
        <is>
          <t>Frexa - Science</t>
        </is>
      </c>
      <c r="C17" s="67" t="inlineStr">
        <is>
          <t>Runs d'optimisation MAXEVAL&gt;0 sur frexalimab</t>
        </is>
      </c>
      <c r="D17" s="67" t="inlineStr">
        <is>
          <t>À faire</t>
        </is>
      </c>
      <c r="E17" s="67" t="inlineStr">
        <is>
          <t>Moyenne</t>
        </is>
      </c>
      <c r="F17" s="68" t="n">
        <v>0</v>
      </c>
      <c r="G17" s="67" t="inlineStr">
        <is>
          <t>stratégie : optimiser en FO (rapide) puis évaluer en FOCEI+trick (réaliste) /// algo : RS→STGR→NELDER chaîné, D-optimali...</t>
        </is>
      </c>
      <c r="H17" s="67" t="inlineStr">
        <is>
          <t>lancer premiers runs ; comparer NELDER seul vs chaîné</t>
        </is>
      </c>
    </row>
    <row r="18" ht="45" customHeight="1" s="45">
      <c r="A18" s="67" t="inlineStr">
        <is>
          <t>Science &amp; Recherche</t>
        </is>
      </c>
      <c r="B18" s="67" t="inlineStr">
        <is>
          <t>Contrôle qualité FIM</t>
        </is>
      </c>
      <c r="C18" s="67" t="inlineStr">
        <is>
          <t>Positive control : répliquer sur warfarin (Bauer ex1)</t>
        </is>
      </c>
      <c r="D18" s="67" t="inlineStr">
        <is>
          <t>À faire</t>
        </is>
      </c>
      <c r="E18" s="67" t="inlineStr">
        <is>
          <t>Moyenne</t>
        </is>
      </c>
      <c r="F18" s="68" t="n">
        <v>0</v>
      </c>
      <c r="G18" s="67" t="inlineStr">
        <is>
          <t>sanity check : reproduire RSE Bauer 2021 sur warfarin ex1 avec notre setup</t>
        </is>
      </c>
      <c r="H18" s="67" t="inlineStr">
        <is>
          <t>à faire avant CTS frexalimab</t>
        </is>
      </c>
    </row>
    <row r="19" ht="45" customHeight="1" s="45">
      <c r="A19" s="65" t="inlineStr">
        <is>
          <t>Suite de carrière</t>
        </is>
      </c>
      <c r="B19" s="65" t="inlineStr">
        <is>
          <t>Suite de la vie</t>
        </is>
      </c>
      <c r="C19" s="65" t="inlineStr">
        <is>
          <t>Candidature Roche Bâle (stage/emploi)</t>
        </is>
      </c>
      <c r="D19" s="65" t="inlineStr">
        <is>
          <t>En cours</t>
        </is>
      </c>
      <c r="E19" s="65" t="inlineStr">
        <is>
          <t>Haute</t>
        </is>
      </c>
      <c r="F19" s="66" t="n">
        <v>60</v>
      </c>
      <c r="G19" s="65" t="inlineStr">
        <is>
          <t>CV + cover letter prêts (4 variantes) /// offre : Biostatistician Intern Basel 4-6 months</t>
        </is>
      </c>
      <c r="H19" s="65" t="inlineStr">
        <is>
          <t>soumettre la candidature</t>
        </is>
      </c>
    </row>
    <row r="20" ht="45" customHeight="1" s="45">
      <c r="A20" s="67" t="inlineStr">
        <is>
          <t>Suite de carrière</t>
        </is>
      </c>
      <c r="B20" s="67" t="inlineStr">
        <is>
          <t>Suite de la vie</t>
        </is>
      </c>
      <c r="C20" s="67" t="inlineStr">
        <is>
          <t xml:space="preserve">Apply PhD </t>
        </is>
      </c>
      <c r="D20" s="67" t="inlineStr">
        <is>
          <t>À faire</t>
        </is>
      </c>
      <c r="E20" s="67" t="inlineStr">
        <is>
          <t>Moyenne</t>
        </is>
      </c>
      <c r="F20" s="68" t="n">
        <v>0</v>
      </c>
      <c r="G20" s="67" t="inlineStr">
        <is>
          <t>https://www.linkedin.com/posts/angelique-perrillat_principal-phd-modeling-activity-7444639890597806080-cC_i?utm_source=s...</t>
        </is>
      </c>
      <c r="H20" s="67" t="inlineStr">
        <is>
          <t>nan</t>
        </is>
      </c>
    </row>
    <row r="21" ht="45" customHeight="1" s="45">
      <c r="A21" s="67" t="inlineStr">
        <is>
          <t>Suite de carrière</t>
        </is>
      </c>
      <c r="B21" s="67" t="inlineStr">
        <is>
          <t>Suite de la vie</t>
        </is>
      </c>
      <c r="C21" s="67" t="inlineStr">
        <is>
          <t>Apply M2</t>
        </is>
      </c>
      <c r="D21" s="67" t="inlineStr">
        <is>
          <t>À faire</t>
        </is>
      </c>
      <c r="E21" s="67" t="inlineStr">
        <is>
          <t>Moyenne</t>
        </is>
      </c>
      <c r="F21" s="68" t="n">
        <v>0</v>
      </c>
      <c r="G21" s="67" t="inlineStr">
        <is>
          <t>M2 PK UPC / M2 labo MENTRE</t>
        </is>
      </c>
      <c r="H21" s="67" t="inlineStr">
        <is>
          <t>nan</t>
        </is>
      </c>
    </row>
    <row r="22" ht="45" customHeight="1" s="45">
      <c r="A22" s="67" t="inlineStr">
        <is>
          <t>Suite de carrière</t>
        </is>
      </c>
      <c r="B22" s="67" t="inlineStr">
        <is>
          <t>Suite de la vie</t>
        </is>
      </c>
      <c r="C22" s="67" t="inlineStr">
        <is>
          <t>Apply Interships</t>
        </is>
      </c>
      <c r="D22" s="67" t="inlineStr">
        <is>
          <t>À faire</t>
        </is>
      </c>
      <c r="E22" s="67" t="inlineStr">
        <is>
          <t>Moyenne</t>
        </is>
      </c>
      <c r="F22" s="68" t="n">
        <v>0</v>
      </c>
      <c r="G22" s="67" t="inlineStr">
        <is>
          <t>https://careers.roche.com/global/en/job/ROCHGLOBAL202603107265EXTERNALENGLOBAL/Biostatistician-Intern-Basel-4-6-months?u...</t>
        </is>
      </c>
      <c r="H22" s="67" t="inlineStr">
        <is>
          <t>nan</t>
        </is>
      </c>
    </row>
  </sheetData>
  <mergeCells count="2">
    <mergeCell ref="A11:H1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4" min="1" max="1"/>
    <col width="20" customWidth="1" style="44" min="2" max="2"/>
    <col width="38" customWidth="1" style="44" min="3" max="3"/>
    <col width="12" customWidth="1" style="44" min="4" max="5"/>
    <col width="16" customWidth="1" style="44" min="6" max="6"/>
    <col width="50" customWidth="1" style="44" min="7" max="7"/>
    <col width="30" customWidth="1" style="44" min="8" max="8"/>
    <col width="45" customWidth="1" style="44" min="9" max="9"/>
  </cols>
  <sheetData>
    <row r="1" ht="36" customHeight="1" s="45">
      <c r="A1" s="69" t="inlineStr">
        <is>
          <t>Science &amp; Recherche</t>
        </is>
      </c>
    </row>
    <row r="2" ht="30" customHeight="1" s="45">
      <c r="A2" s="70" t="inlineStr">
        <is>
          <t>Date</t>
        </is>
      </c>
      <c r="B2" s="70" t="inlineStr">
        <is>
          <t>Projet / Thème</t>
        </is>
      </c>
      <c r="C2" s="70" t="inlineStr">
        <is>
          <t>Tâche</t>
        </is>
      </c>
      <c r="D2" s="70" t="inlineStr">
        <is>
          <t>Statut</t>
        </is>
      </c>
      <c r="E2" s="70" t="inlineStr">
        <is>
          <t>Priorité</t>
        </is>
      </c>
      <c r="F2" s="70" t="inlineStr">
        <is>
          <t>Progression (%)</t>
        </is>
      </c>
      <c r="G2" s="70" t="inlineStr">
        <is>
          <t>Avancement</t>
        </is>
      </c>
      <c r="H2" s="70" t="inlineStr">
        <is>
          <t>Commentaires Elisa</t>
        </is>
      </c>
      <c r="I2" s="70" t="inlineStr">
        <is>
          <t>Prochaines étapes</t>
        </is>
      </c>
    </row>
    <row r="3" ht="54.75" customHeight="1" s="45">
      <c r="A3" s="71" t="inlineStr">
        <is>
          <t>26-févr</t>
        </is>
      </c>
      <c r="B3" s="71" t="inlineStr">
        <is>
          <t>Frexa - BAY0130</t>
        </is>
      </c>
      <c r="C3" s="71" t="inlineStr">
        <is>
          <t>Rédiger la méthodologie de recherche</t>
        </is>
      </c>
      <c r="D3" s="71" t="inlineStr">
        <is>
          <t>Terminé</t>
        </is>
      </c>
      <c r="E3" s="71" t="inlineStr">
        <is>
          <t>Basse</t>
        </is>
      </c>
      <c r="F3" s="72" t="n">
        <v>100</v>
      </c>
      <c r="G3" s="71" t="inlineStr">
        <is>
          <t>Lecture de docs existantes</t>
        </is>
      </c>
      <c r="H3" s="71" t="n"/>
      <c r="I3" s="71" t="inlineStr">
        <is>
          <t>Présenter à Elisa</t>
        </is>
      </c>
    </row>
    <row r="4" ht="54.75" customHeight="1" s="45">
      <c r="A4" s="71" t="inlineStr">
        <is>
          <t>26-févr</t>
        </is>
      </c>
      <c r="B4" s="71" t="inlineStr">
        <is>
          <t>Frexa - BAY0130</t>
        </is>
      </c>
      <c r="C4" s="71" t="inlineStr">
        <is>
          <t>Définir l'objectif de recherche</t>
        </is>
      </c>
      <c r="D4" s="71" t="inlineStr">
        <is>
          <t>Terminé</t>
        </is>
      </c>
      <c r="E4" s="71" t="inlineStr">
        <is>
          <t>Basse</t>
        </is>
      </c>
      <c r="F4" s="72" t="n">
        <v>100</v>
      </c>
      <c r="G4" s="71" t="inlineStr">
        <is>
          <t>A revoir encore et encore</t>
        </is>
      </c>
      <c r="H4" s="71" t="n"/>
      <c r="I4" s="71" t="inlineStr">
        <is>
          <t>Présenter à Elisa</t>
        </is>
      </c>
    </row>
    <row r="5" ht="54.75" customHeight="1" s="45">
      <c r="A5" s="65" t="inlineStr">
        <is>
          <t>26-févr</t>
        </is>
      </c>
      <c r="B5" s="65" t="inlineStr">
        <is>
          <t>Frexa - BAY0130</t>
        </is>
      </c>
      <c r="C5" s="65" t="inlineStr">
        <is>
          <t>Réaliser l’évaluation du Frexa</t>
        </is>
      </c>
      <c r="D5" s="65" t="inlineStr">
        <is>
          <t>En cours</t>
        </is>
      </c>
      <c r="E5" s="65" t="n">
        <v>90</v>
      </c>
      <c r="F5" s="66" t="n">
        <v>80</v>
      </c>
      <c r="G5" s="65" t="inlineStr">
        <is>
          <t>baseline FIM complete (PSM+complet) /// SSE validation 24 configs (3 APPROX x 4 FT x 2 VC) -&gt; config recommandee : FOCEI+FT1+VC0 (79%, 11/14 params dans +/-20%) /// VARCROSS rule validee : W=SQRT(a+b*IPRED2)-&gt;VC0, W=a+b*IPRED-&gt;VC1 /// dataset SoA corrige (ISC ajoute, 2 bras SC/IV, 80 patients) /// 3 params hors-cible structurels : Q (0.58), KA (0.67), OM(CL,VC) (0.43)</t>
        </is>
      </c>
      <c r="H5" s="65" t="n"/>
      <c r="I5" s="65" t="inlineStr">
        <is>
          <t>optimisation MAXEVAL&gt;0 sur SoA dataset ; CTS N=200 pour validation finale</t>
        </is>
      </c>
    </row>
    <row r="6" ht="54.75" customHeight="1" s="45">
      <c r="A6" s="71" t="inlineStr">
        <is>
          <t>26-févr</t>
        </is>
      </c>
      <c r="B6" s="71" t="inlineStr">
        <is>
          <t>Frexa - BAY0130</t>
        </is>
      </c>
      <c r="C6" s="71" t="inlineStr">
        <is>
          <t>Choix implémentation (R/Shiny)</t>
        </is>
      </c>
      <c r="D6" s="71" t="inlineStr">
        <is>
          <t>Terminé</t>
        </is>
      </c>
      <c r="E6" s="71" t="inlineStr">
        <is>
          <t>Basse</t>
        </is>
      </c>
      <c r="F6" s="72" t="n">
        <v>100</v>
      </c>
      <c r="G6" s="71" t="inlineStr">
        <is>
          <t>V1 Shiny</t>
        </is>
      </c>
      <c r="H6" s="71" t="n"/>
      <c r="I6" s="71" t="inlineStr">
        <is>
          <t>Présenter à Elisa</t>
        </is>
      </c>
    </row>
    <row r="7" ht="54.75" customHeight="1" s="45">
      <c r="A7" s="71" t="inlineStr">
        <is>
          <t>26-févr</t>
        </is>
      </c>
      <c r="B7" s="71" t="inlineStr">
        <is>
          <t>Frexa - BAY0130</t>
        </is>
      </c>
      <c r="C7" s="71" t="inlineStr">
        <is>
          <t>Choix implémentation (R/Shiny)</t>
        </is>
      </c>
      <c r="D7" s="71" t="inlineStr">
        <is>
          <t>Terminé</t>
        </is>
      </c>
      <c r="E7" s="71" t="inlineStr">
        <is>
          <t>Basse</t>
        </is>
      </c>
      <c r="F7" s="72" t="n">
        <v>99</v>
      </c>
      <c r="G7" s="71" t="inlineStr">
        <is>
          <t>V2 Shiny</t>
        </is>
      </c>
      <c r="H7" s="71" t="n"/>
      <c r="I7" s="71" t="inlineStr">
        <is>
          <t>Présenter à Elisa</t>
        </is>
      </c>
    </row>
    <row r="8" ht="54.75" customHeight="1" s="45">
      <c r="A8" s="71" t="inlineStr">
        <is>
          <t>26-févr</t>
        </is>
      </c>
      <c r="B8" s="71" t="inlineStr">
        <is>
          <t>Frexa - BAY0130</t>
        </is>
      </c>
      <c r="C8" s="71" t="inlineStr">
        <is>
          <t>Revue littérature covariables (cat. &amp; cont.)</t>
        </is>
      </c>
      <c r="D8" s="71" t="inlineStr">
        <is>
          <t>Terminé</t>
        </is>
      </c>
      <c r="E8" s="71" t="inlineStr">
        <is>
          <t>Basse</t>
        </is>
      </c>
      <c r="F8" s="72" t="n">
        <v>100</v>
      </c>
      <c r="G8" s="71" t="inlineStr">
        <is>
          <t>Webinaire de RJB / Papiers de LF</t>
        </is>
      </c>
      <c r="H8" s="71" t="n"/>
      <c r="I8" s="71" t="inlineStr">
        <is>
          <t>Présenter à Elisa</t>
        </is>
      </c>
    </row>
    <row r="9" ht="54.75" customHeight="1" s="45">
      <c r="A9" s="65" t="inlineStr">
        <is>
          <t>26-févr</t>
        </is>
      </c>
      <c r="B9" s="65" t="inlineStr">
        <is>
          <t>Frexa - BAY0130</t>
        </is>
      </c>
      <c r="C9" s="65" t="inlineStr">
        <is>
          <t>Choisir les algorithmes pertinents (simplex ? Fedorov ? Etc)</t>
        </is>
      </c>
      <c r="D9" s="65" t="inlineStr">
        <is>
          <t>En cours</t>
        </is>
      </c>
      <c r="E9" s="65" t="inlineStr">
        <is>
          <t>Haute</t>
        </is>
      </c>
      <c r="F9" s="66" t="n">
        <v>50</v>
      </c>
      <c r="G9" s="65" t="inlineStr">
        <is>
          <t>taxonomie complète $DESIGN en 8 groupes (A-H) faite /// algos : NELDER (déterministe), RS/STGR (stochastiques), FEDOROV/DISCRETE (discret) /// chaînage RS→STGR→NELDER = recommandation Manuel NM l.7865 /// premiers runs MAXEVAL&gt;0 pas encore lancés</t>
        </is>
      </c>
      <c r="H9" s="65" t="n"/>
      <c r="I9" s="65" t="inlineStr">
        <is>
          <t>lancer premiers runs d'optimisation sur frexalimab PSM</t>
        </is>
      </c>
    </row>
    <row r="10" ht="54.75" customHeight="1" s="45">
      <c r="A10" s="65" t="inlineStr">
        <is>
          <t>2026-03-06</t>
        </is>
      </c>
      <c r="B10" s="65" t="inlineStr">
        <is>
          <t>POH1224</t>
        </is>
      </c>
      <c r="C10" s="65" t="inlineStr">
        <is>
          <t>$DESIGN frexa EFC18098 = éval sur NM</t>
        </is>
      </c>
      <c r="D10" s="65" t="inlineStr">
        <is>
          <t>En cours</t>
        </is>
      </c>
      <c r="E10" s="65" t="inlineStr">
        <is>
          <t>Moyenne</t>
        </is>
      </c>
      <c r="F10" s="66" t="n">
        <v>30</v>
      </c>
      <c r="G10" s="65" t="inlineStr">
        <is>
          <t>Trouver la pop virtuelle pour refaire eval sur modele final - introuvable :( /// update 19/03 : ai-je vraiment besoin de la pop virtuelle ? /// update : N:\MtpProject\sar441344\SIM0576\copula\Asian_only</t>
        </is>
      </c>
      <c r="H10" s="65" t="n"/>
      <c r="I10" s="65" t="inlineStr">
        <is>
          <t>EN STAND BY</t>
        </is>
      </c>
    </row>
    <row r="11" ht="54.75" customHeight="1" s="45">
      <c r="A11" s="71" t="inlineStr">
        <is>
          <t>2026-03-26</t>
        </is>
      </c>
      <c r="B11" s="71" t="inlineStr">
        <is>
          <t>Frexa - Science</t>
        </is>
      </c>
      <c r="C11" s="71" t="inlineStr">
        <is>
          <t>Exploration FIMTYPE × VARCROSS complète (frexalimab)</t>
        </is>
      </c>
      <c r="D11" s="71" t="inlineStr">
        <is>
          <t>Terminé</t>
        </is>
      </c>
      <c r="E11" s="71" t="inlineStr">
        <is>
          <t>Basse</t>
        </is>
      </c>
      <c r="F11" s="72" t="n">
        <v>100</v>
      </c>
      <c r="G11" s="71" t="inlineStr">
        <is>
          <t>testé FT 0/1/2/3 × VC 0/1 sur modèle complet /// FT=2+VC=1 = référence (seule combi cohérente avec erreur combinée) /// FT=1 : RSE absurdes (hypothèse C indép. de θ violée) /// FT=3 : FIM singulière sur frexalimab</t>
        </is>
      </c>
      <c r="H11" s="71" t="n"/>
      <c r="I11" s="71" t="inlineStr">
        <is>
          <t>valider par CTS ; tester sur modèle PSM</t>
        </is>
      </c>
    </row>
    <row r="12" ht="54.75" customHeight="1" s="45">
      <c r="A12" s="71" t="inlineStr">
        <is>
          <t>2026-03-31</t>
        </is>
      </c>
      <c r="B12" s="71" t="inlineStr">
        <is>
          <t>Frexa - Science</t>
        </is>
      </c>
      <c r="C12" s="71" t="inlineStr">
        <is>
          <t>Exploration APPROX sur PSM (6 combinaisons)</t>
        </is>
      </c>
      <c r="D12" s="71" t="inlineStr">
        <is>
          <t>Terminé</t>
        </is>
      </c>
      <c r="E12" s="71" t="inlineStr">
        <is>
          <t>Basse</t>
        </is>
      </c>
      <c r="F12" s="72" t="n">
        <v>100</v>
      </c>
      <c r="G12" s="71" t="inlineStr">
        <is>
          <t>FT=2 × (FO/FOCE/FOCEI) × (VC=0/1) : meilleure = FOCEI+VC=1 (D-eff +78% vs FO) /// THETAs bons partout (6-28%) /// OMEGAs mauvais partout → dataset PSM sans ISC, à refaire</t>
        </is>
      </c>
      <c r="H12" s="71" t="n"/>
      <c r="I12" s="71" t="inlineStr">
        <is>
          <t>refaire dataset PSM avec ISC ; relancer même grille</t>
        </is>
      </c>
    </row>
    <row r="13" ht="54.75" customHeight="1" s="45">
      <c r="A13" s="71" t="inlineStr">
        <is>
          <t>2026-04-01</t>
        </is>
      </c>
      <c r="B13" s="71" t="inlineStr">
        <is>
          <t>Frexa - Science</t>
        </is>
      </c>
      <c r="C13" s="71" t="inlineStr">
        <is>
          <t>Trick FOCEI (REPL+$SIM) : implémenté et validé</t>
        </is>
      </c>
      <c r="D13" s="71" t="inlineStr">
        <is>
          <t>Terminé</t>
        </is>
      </c>
      <c r="E13" s="71" t="inlineStr">
        <is>
          <t>Basse</t>
        </is>
      </c>
      <c r="F13" s="72" t="n">
        <v>100</v>
      </c>
      <c r="G13" s="71" t="inlineStr">
        <is>
          <t>$DATA REPL=100 + $SIM + GROUPSIZE=0.4 + MODE=0 /// CL 11%→5%, OMEGA(2,1) 211%→45%, OMEGA(5,5) 91%→48%, OFV -102.81→-107.15 /// MODE=0≈MODE=2 (OMEGAs identiques), MODE=1 = FIM singulière</t>
        </is>
      </c>
      <c r="H13" s="71" t="n"/>
      <c r="I13" s="71" t="inlineStr">
        <is>
          <t>comparer trick vs y-expectation par CTS</t>
        </is>
      </c>
    </row>
    <row r="14" ht="54.75" customHeight="1" s="45">
      <c r="A14" s="71" t="inlineStr">
        <is>
          <t>2026-04-01</t>
        </is>
      </c>
      <c r="B14" s="71" t="inlineStr">
        <is>
          <t>Frexa - Science</t>
        </is>
      </c>
      <c r="C14" s="71" t="inlineStr">
        <is>
          <t>Taxonomie complète options $DESIGN (8 groupes A-H)</t>
        </is>
      </c>
      <c r="D14" s="71" t="inlineStr">
        <is>
          <t>Terminé</t>
        </is>
      </c>
      <c r="E14" s="71" t="inlineStr">
        <is>
          <t>Basse</t>
        </is>
      </c>
      <c r="F14" s="72" t="n">
        <v>100</v>
      </c>
      <c r="G14" s="71" t="inlineStr">
        <is>
          <t>groupes A-H : FIM / APPROX / erreur / algos / critères / séquentiel / robuste / avancé /// facteurs d'exploration : FIMTYPE × APPROX × Algo × OFVTYPE × Fenêtres</t>
        </is>
      </c>
      <c r="H14" s="71" t="n"/>
      <c r="I14" s="71" t="inlineStr">
        <is>
          <t>débuter exploration systématique</t>
        </is>
      </c>
    </row>
    <row r="15" ht="54.75" customHeight="1" s="45">
      <c r="A15" s="67" t="inlineStr">
        <is>
          <t>2026-04-01</t>
        </is>
      </c>
      <c r="B15" s="67" t="inlineStr">
        <is>
          <t>Contrôle qualité FIM</t>
        </is>
      </c>
      <c r="C15" s="67" t="inlineStr">
        <is>
          <t>CTS N=200 : validation RSE FIM vs empirique</t>
        </is>
      </c>
      <c r="D15" s="67" t="inlineStr">
        <is>
          <t>À faire</t>
        </is>
      </c>
      <c r="E15" s="67" t="inlineStr">
        <is>
          <t>Moyenne</t>
        </is>
      </c>
      <c r="F15" s="68" t="n">
        <v>0</v>
      </c>
      <c r="G15" s="67" t="inlineStr">
        <is>
          <t>protocole défini : FOCEI, N=200, rapporter taux convergence + CI RSE (2.5-97.5%) + boundary hits /// critère : RSE FIM dans ±20% du RSE CTS pour ≥80% des paramètres</t>
        </is>
      </c>
      <c r="H15" s="67" t="n"/>
      <c r="I15" s="67" t="inlineStr">
        <is>
          <t>lancer sur frexalimab PSM propre (avec ISC)</t>
        </is>
      </c>
    </row>
    <row r="16" ht="54.75" customHeight="1" s="45">
      <c r="A16" s="67" t="inlineStr">
        <is>
          <t>2026-04-01</t>
        </is>
      </c>
      <c r="B16" s="67" t="inlineStr">
        <is>
          <t>Frexa - Science</t>
        </is>
      </c>
      <c r="C16" s="67" t="inlineStr">
        <is>
          <t>Runs d'optimisation MAXEVAL&gt;0 sur frexalimab</t>
        </is>
      </c>
      <c r="D16" s="67" t="inlineStr">
        <is>
          <t>À faire</t>
        </is>
      </c>
      <c r="E16" s="67" t="inlineStr">
        <is>
          <t>Moyenne</t>
        </is>
      </c>
      <c r="F16" s="68" t="n">
        <v>0</v>
      </c>
      <c r="G16" s="67" t="inlineStr">
        <is>
          <t>stratégie : optimiser en FO (rapide) puis évaluer en FOCEI+trick (réaliste) /// algo : RS→STGR→NELDER chaîné, D-optimalité en premier</t>
        </is>
      </c>
      <c r="H16" s="67" t="n"/>
      <c r="I16" s="67" t="inlineStr">
        <is>
          <t>lancer premiers runs ; comparer NELDER seul vs chaîné</t>
        </is>
      </c>
    </row>
    <row r="17" ht="54.75" customHeight="1" s="45">
      <c r="A17" s="67" t="inlineStr">
        <is>
          <t>2026-04-28</t>
        </is>
      </c>
      <c r="B17" s="67" t="inlineStr">
        <is>
          <t>Contrôle qualité FIM</t>
        </is>
      </c>
      <c r="C17" s="67" t="inlineStr">
        <is>
          <t>Positive control : répliquer sur warfarin (Bauer ex1)</t>
        </is>
      </c>
      <c r="D17" s="67" t="inlineStr">
        <is>
          <t>À faire</t>
        </is>
      </c>
      <c r="E17" s="67" t="inlineStr">
        <is>
          <t>Moyenne</t>
        </is>
      </c>
      <c r="F17" s="68" t="n">
        <v>0</v>
      </c>
      <c r="G17" s="67" t="inlineStr">
        <is>
          <t>sanity check : reproduire RSE Bauer 2021 sur warfarin ex1 avec notre setup</t>
        </is>
      </c>
      <c r="H17" s="67" t="n"/>
      <c r="I17" s="67" t="inlineStr">
        <is>
          <t>à faire avant CTS frexalimab</t>
        </is>
      </c>
    </row>
    <row r="18">
      <c r="A18" s="44" t="inlineStr">
        <is>
          <t>2026-04-07</t>
        </is>
      </c>
      <c r="B18" s="44" t="inlineStr">
        <is>
          <t>Frexa - Science</t>
        </is>
      </c>
      <c r="C18" s="44" t="inlineStr">
        <is>
          <t>SSE validation 24 configs FIM vs empirique</t>
        </is>
      </c>
      <c r="D18" s="44" t="inlineStr">
        <is>
          <t>Terminé</t>
        </is>
      </c>
      <c r="E18" s="44" t="inlineStr">
        <is>
          <t>Basse</t>
        </is>
      </c>
      <c r="F18" s="44" t="n">
        <v>100</v>
      </c>
      <c r="G18" s="44" t="inlineStr">
        <is>
          <t>24 configs factorielles (3 APPROX x 4 FIMTYPE x 2 VARCROSS) comparees au SSE (200 reps PsN, 155 OK) /// FOCEI+FT1+VC0 = meilleure (79%, 11/14) /// FIMTYPE=2 = a proscrire (36-57%) /// VARCROSS depend forme variance, pas juste erreur combinee</t>
        </is>
      </c>
      <c r="I18" s="44" t="inlineStr">
        <is>
          <t>resultat integre dans recommandation stage</t>
        </is>
      </c>
    </row>
    <row r="19">
      <c r="A19" s="44" t="inlineStr">
        <is>
          <t>2026-04-03</t>
        </is>
      </c>
      <c r="B19" s="44" t="inlineStr">
        <is>
          <t>Frexa - BAY0130</t>
        </is>
      </c>
      <c r="C19" s="44" t="inlineStr">
        <is>
          <t>Dataset SoA frexalimab (2 bras SC/IV)</t>
        </is>
      </c>
      <c r="D19" s="44" t="inlineStr">
        <is>
          <t>Terminé</t>
        </is>
      </c>
      <c r="E19" s="44" t="inlineStr">
        <is>
          <t>Basse</t>
        </is>
      </c>
      <c r="F19" s="44" t="n">
        <v>100</v>
      </c>
      <c r="G19" s="44" t="inlineStr">
        <is>
          <t>dataset corrige : ISC ajoute, 2 bras (8 doses SC + 7 doses IV), 80 patients (GROUPSIZE=40) /// TSTRAT separes par voie, TMIN/TMAX a definir depuis CTP</t>
        </is>
      </c>
      <c r="I19" s="44" t="inlineStr">
        <is>
          <t>utiliser pour runs optimisation MAXEVAL&gt;0</t>
        </is>
      </c>
    </row>
    <row r="20">
      <c r="A20" s="44" t="inlineStr">
        <is>
          <t>2026-04-08</t>
        </is>
      </c>
      <c r="B20" s="44" t="inlineStr">
        <is>
          <t>Congres junior</t>
        </is>
      </c>
      <c r="C20" s="44" t="inlineStr">
        <is>
          <t>Preparer slides congres 28 mai (5 slides)</t>
        </is>
      </c>
      <c r="D20" s="44" t="inlineStr">
        <is>
          <t>En cours</t>
        </is>
      </c>
      <c r="E20" s="44" t="inlineStr">
        <is>
          <t>Haute</t>
        </is>
      </c>
      <c r="F20" s="44" t="n">
        <v>60</v>
      </c>
      <c r="G20" s="44" t="inlineStr">
        <is>
          <t>pptx cree avec resultats FIM frexalimab, SSE validation, guide $DESIGN</t>
        </is>
      </c>
      <c r="I20" s="44" t="inlineStr">
        <is>
          <t>finaliser avec feedback Elisa</t>
        </is>
      </c>
    </row>
  </sheetData>
  <autoFilter ref="A2:I17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6A34A"/>
    <outlinePr summaryBelow="1" summaryRight="1"/>
    <pageSetUpPr fitToPage="0"/>
  </sheetPr>
  <dimension ref="A1:I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4" min="1" max="1"/>
    <col width="20" customWidth="1" style="44" min="2" max="2"/>
    <col width="38" customWidth="1" style="44" min="3" max="3"/>
    <col width="12" customWidth="1" style="44" min="4" max="5"/>
    <col width="16" customWidth="1" style="44" min="6" max="6"/>
    <col width="50" customWidth="1" style="44" min="7" max="7"/>
    <col width="30" customWidth="1" style="44" min="8" max="8"/>
    <col width="45" customWidth="1" style="44" min="9" max="9"/>
  </cols>
  <sheetData>
    <row r="1" ht="36" customHeight="1" s="45">
      <c r="A1" s="73" t="inlineStr">
        <is>
          <t>App Shiny &amp; Code</t>
        </is>
      </c>
    </row>
    <row r="2" ht="30" customHeight="1" s="45">
      <c r="A2" s="74" t="inlineStr">
        <is>
          <t>Date</t>
        </is>
      </c>
      <c r="B2" s="74" t="inlineStr">
        <is>
          <t>Projet / Thème</t>
        </is>
      </c>
      <c r="C2" s="74" t="inlineStr">
        <is>
          <t>Tâche</t>
        </is>
      </c>
      <c r="D2" s="74" t="inlineStr">
        <is>
          <t>Statut</t>
        </is>
      </c>
      <c r="E2" s="74" t="inlineStr">
        <is>
          <t>Priorité</t>
        </is>
      </c>
      <c r="F2" s="74" t="inlineStr">
        <is>
          <t>Progression (%)</t>
        </is>
      </c>
      <c r="G2" s="74" t="inlineStr">
        <is>
          <t>Avancement</t>
        </is>
      </c>
      <c r="H2" s="74" t="inlineStr">
        <is>
          <t>Commentaires Elisa</t>
        </is>
      </c>
      <c r="I2" s="74" t="inlineStr">
        <is>
          <t>Prochaines étapes</t>
        </is>
      </c>
    </row>
    <row r="3" ht="54.75" customHeight="1" s="45">
      <c r="A3" s="71" t="inlineStr">
        <is>
          <t>26-févr</t>
        </is>
      </c>
      <c r="B3" s="71" t="inlineStr">
        <is>
          <t>Scripts NM</t>
        </is>
      </c>
      <c r="C3" s="71" t="inlineStr">
        <is>
          <t>Script bash nettoyage auto (nmrun75 / nmrun76s)</t>
        </is>
      </c>
      <c r="D3" s="71" t="inlineStr">
        <is>
          <t>Terminé</t>
        </is>
      </c>
      <c r="E3" s="71" t="inlineStr">
        <is>
          <t>Basse</t>
        </is>
      </c>
      <c r="F3" s="72" t="n">
        <v>100</v>
      </c>
      <c r="G3" s="71" t="inlineStr">
        <is>
          <t>Mise en place nmrun75 &amp; nmrun76s qui nettoient les fichiers inutilisés</t>
        </is>
      </c>
      <c r="H3" s="71" t="n"/>
      <c r="I3" s="71" t="inlineStr">
        <is>
          <t>Documenter l’usage</t>
        </is>
      </c>
    </row>
    <row r="4" ht="54.75" customHeight="1" s="45">
      <c r="A4" s="71" t="inlineStr">
        <is>
          <t>2026-02-27</t>
        </is>
      </c>
      <c r="B4" s="71" t="inlineStr">
        <is>
          <t>Scripts R</t>
        </is>
      </c>
      <c r="C4" s="71" t="inlineStr">
        <is>
          <t>Script R - lecture fichier .ext</t>
        </is>
      </c>
      <c r="D4" s="71" t="inlineStr">
        <is>
          <t>Terminé</t>
        </is>
      </c>
      <c r="E4" s="71" t="inlineStr">
        <is>
          <t>Basse</t>
        </is>
      </c>
      <c r="F4" s="72" t="n">
        <v>100</v>
      </c>
      <c r="G4" s="71" t="inlineStr">
        <is>
          <t>Script lecture .ext et prior résumé</t>
        </is>
      </c>
      <c r="H4" s="71" t="n"/>
      <c r="I4" s="71" t="inlineStr">
        <is>
          <t>Fini</t>
        </is>
      </c>
    </row>
    <row r="5" ht="54.75" customHeight="1" s="45">
      <c r="A5" s="71" t="inlineStr">
        <is>
          <t>2026-03-15</t>
        </is>
      </c>
      <c r="B5" s="71" t="inlineStr">
        <is>
          <t>App Shiny</t>
        </is>
      </c>
      <c r="C5" s="71" t="inlineStr">
        <is>
          <t>App Shiny V5.1 post-processing $DESIGN</t>
        </is>
      </c>
      <c r="D5" s="71" t="inlineStr">
        <is>
          <t>V5.1 sur main (commit 3de476e) /// V4 -&gt; V5.0 (Home page, kill drawer, English labels) -&gt; V5.1 (navbarPage, Home redesign, CSS cleanup) /// 14 modules, 175 tests unitaires /// Power/NSN Wald + TOST equivalence, convergence steps, scatter FIM vs SSE /// compatible RStudio Server R 4.2.0</t>
        </is>
      </c>
      <c r="E5" s="71" t="inlineStr">
        <is>
          <t>Basse</t>
        </is>
      </c>
      <c r="F5" s="72" t="n">
        <v>100</v>
      </c>
      <c r="G5" s="71" t="inlineStr">
        <is>
          <t>V5.1 sur main /// navbarPage migration, Home two-column layout, Compare integre, settings_bar dans mod_times/mod_power, detect_method() /// refonte V5.0 : Home landing page, kill drawer, English labels, rename DE$IGN EXPLORER</t>
        </is>
      </c>
      <c r="H5" s="71" t="n"/>
      <c r="I5" s="71" t="inlineStr">
        <is>
          <t>stabiliser sur serveur Sanofi ; V6 editeur .ctl</t>
        </is>
      </c>
    </row>
    <row r="6">
      <c r="A6" s="44" t="inlineStr">
        <is>
          <t>2026-04-07</t>
        </is>
      </c>
      <c r="B6" s="44" t="inlineStr">
        <is>
          <t>App Shiny</t>
        </is>
      </c>
      <c r="C6" s="44" t="inlineStr">
        <is>
          <t>V4.4.0 - Power / NSN (Wald)</t>
        </is>
      </c>
      <c r="D6" s="44" t="inlineStr">
        <is>
          <t>Terminé</t>
        </is>
      </c>
      <c r="E6" s="44" t="inlineStr">
        <is>
          <t>Basse</t>
        </is>
      </c>
      <c r="F6" s="44" t="n">
        <v>100</v>
      </c>
      <c r="G6" s="44" t="inlineStr">
        <is>
          <t>module Power/NSN : compute_power_wald(), compute_n_needed(), plot_power_curve() /// tab Puissance (colore vert/orange/rouge) + tab NSN avec courbe Power(N) /// parse_groupsize() auto-rempli depuis .ctl /// 28 nouveaux tests (151 total)</t>
        </is>
      </c>
      <c r="I6" s="44" t="inlineStr">
        <is>
          <t>fait - PR #37</t>
        </is>
      </c>
    </row>
    <row r="7">
      <c r="A7" s="44" t="inlineStr">
        <is>
          <t>2026-04-08</t>
        </is>
      </c>
      <c r="B7" s="44" t="inlineStr">
        <is>
          <t>App Shiny</t>
        </is>
      </c>
      <c r="C7" s="44" t="inlineStr">
        <is>
          <t>V4.5.0 - TOST equivalence</t>
        </is>
      </c>
      <c r="D7" s="44" t="inlineStr">
        <is>
          <t>Terminé</t>
        </is>
      </c>
      <c r="E7" s="44" t="inlineStr">
        <is>
          <t>Basse</t>
        </is>
      </c>
      <c r="F7" s="44" t="n">
        <v>100</v>
      </c>
      <c r="G7" s="44" t="inlineStr">
        <is>
          <t>test TOST (PFIM eq. 4-7) : compute_power_tost(), compute_nsn_tost() /// tab Equivalence (TOST) avec detection hors-marge, courbe Power(N) violette /// N total editable dans Power tab + encadres explicatifs Wald/TOST /// 17 nouveaux tests (175 total)</t>
        </is>
      </c>
      <c r="I7" s="44" t="inlineStr">
        <is>
          <t>fait - PR #38</t>
        </is>
      </c>
    </row>
    <row r="8">
      <c r="A8" s="44" t="inlineStr">
        <is>
          <t>2026-04-08</t>
        </is>
      </c>
      <c r="B8" s="44" t="inlineStr">
        <is>
          <t>App Shiny</t>
        </is>
      </c>
      <c r="C8" s="44" t="inlineStr">
        <is>
          <t>Refactor split parse_design_outputs.R</t>
        </is>
      </c>
      <c r="D8" s="44" t="inlineStr">
        <is>
          <t>Terminé</t>
        </is>
      </c>
      <c r="E8" s="44" t="inlineStr">
        <is>
          <t>Basse</t>
        </is>
      </c>
      <c r="F8" s="44" t="n">
        <v>100</v>
      </c>
      <c r="G8" s="44" t="inlineStr">
        <is>
          <t>split 1268 lignes / 34 fonctions en 5 fichiers : design_utils, design_io, design_metrics, design_summary, ctl_parsers /// max 425 lignes, 0 changement API</t>
        </is>
      </c>
      <c r="I8" s="44" t="inlineStr">
        <is>
          <t>fait - PR #39</t>
        </is>
      </c>
    </row>
    <row r="9">
      <c r="A9" s="44" t="inlineStr">
        <is>
          <t>2026-04-10</t>
        </is>
      </c>
      <c r="B9" s="44" t="inlineStr">
        <is>
          <t>App Shiny</t>
        </is>
      </c>
      <c r="C9" s="44" t="inlineStr">
        <is>
          <t>V4.5.2 - SSE validation + convergence steps</t>
        </is>
      </c>
      <c r="D9" s="44" t="inlineStr">
        <is>
          <t>Terminé</t>
        </is>
      </c>
      <c r="E9" s="44" t="inlineStr">
        <is>
          <t>Basse</t>
        </is>
      </c>
      <c r="F9" s="44" t="n">
        <v>100</v>
      </c>
      <c r="G9" s="44" t="inlineStr">
        <is>
          <t>module SSE Validation (scatter FIM vs SSE, CI 95%, D-criterion, methodologie Fayette 2025) /// convergence steps (detection RS/STGR/NELDER, step chart par phase) /// PK timeline : hard cap 4 facettes, toggle h/j /// fix launch.browser=TRUE (bug RStudio viewer)</t>
        </is>
      </c>
      <c r="I9" s="44" t="inlineStr">
        <is>
          <t>fait - PR #41 + commits directs</t>
        </is>
      </c>
    </row>
  </sheetData>
  <autoFilter ref="A2:I5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D97706"/>
    <outlinePr summaryBelow="1" summaryRight="1"/>
    <pageSetUpPr fitToPage="0"/>
  </sheetPr>
  <dimension ref="A1:I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4" min="1" max="1"/>
    <col width="20" customWidth="1" style="44" min="2" max="2"/>
    <col width="38" customWidth="1" style="44" min="3" max="3"/>
    <col width="12" customWidth="1" style="44" min="4" max="5"/>
    <col width="16" customWidth="1" style="44" min="6" max="6"/>
    <col width="50" customWidth="1" style="44" min="7" max="7"/>
    <col width="30" customWidth="1" style="44" min="8" max="8"/>
    <col width="45" customWidth="1" style="44" min="9" max="9"/>
  </cols>
  <sheetData>
    <row r="1" ht="36" customHeight="1" s="45">
      <c r="A1" s="75" t="inlineStr">
        <is>
          <t>Documentation</t>
        </is>
      </c>
    </row>
    <row r="2" ht="30" customHeight="1" s="45">
      <c r="A2" s="76" t="inlineStr">
        <is>
          <t>Date</t>
        </is>
      </c>
      <c r="B2" s="76" t="inlineStr">
        <is>
          <t>Projet / Thème</t>
        </is>
      </c>
      <c r="C2" s="76" t="inlineStr">
        <is>
          <t>Tâche</t>
        </is>
      </c>
      <c r="D2" s="76" t="inlineStr">
        <is>
          <t>Statut</t>
        </is>
      </c>
      <c r="E2" s="76" t="inlineStr">
        <is>
          <t>Priorité</t>
        </is>
      </c>
      <c r="F2" s="76" t="inlineStr">
        <is>
          <t>Progression (%)</t>
        </is>
      </c>
      <c r="G2" s="76" t="inlineStr">
        <is>
          <t>Avancement</t>
        </is>
      </c>
      <c r="H2" s="76" t="inlineStr">
        <is>
          <t>Commentaires Elisa</t>
        </is>
      </c>
      <c r="I2" s="76" t="inlineStr">
        <is>
          <t>Prochaines étapes</t>
        </is>
      </c>
    </row>
    <row r="3" ht="54.75" customHeight="1" s="45">
      <c r="A3" s="71" t="inlineStr">
        <is>
          <t>2026-03-02</t>
        </is>
      </c>
      <c r="B3" s="71" t="inlineStr">
        <is>
          <t>Guidance</t>
        </is>
      </c>
      <c r="C3" s="71" t="inlineStr">
        <is>
          <t>Vérifier dernières guidances FDA/EMA sur le design</t>
        </is>
      </c>
      <c r="D3" s="71" t="inlineStr">
        <is>
          <t>Terminé</t>
        </is>
      </c>
      <c r="E3" s="71" t="inlineStr">
        <is>
          <t>Basse</t>
        </is>
      </c>
      <c r="F3" s="72" t="n">
        <v>100</v>
      </c>
      <c r="G3" s="71" t="inlineStr">
        <is>
          <t>EMA 2008 / FDA 2022</t>
        </is>
      </c>
      <c r="H3" s="71" t="n"/>
      <c r="I3" s="71" t="inlineStr">
        <is>
          <t>Présenter à Elisa</t>
        </is>
      </c>
    </row>
  </sheetData>
  <autoFilter ref="A2:I3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9333EA"/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4" min="1" max="1"/>
    <col width="20" customWidth="1" style="44" min="2" max="2"/>
    <col width="38" customWidth="1" style="44" min="3" max="3"/>
    <col width="12" customWidth="1" style="44" min="4" max="5"/>
    <col width="16" customWidth="1" style="44" min="6" max="6"/>
    <col width="50" customWidth="1" style="44" min="7" max="7"/>
    <col width="30" customWidth="1" style="44" min="8" max="8"/>
    <col width="45" customWidth="1" style="44" min="9" max="9"/>
  </cols>
  <sheetData>
    <row r="1" ht="36" customHeight="1" s="45">
      <c r="A1" s="77" t="inlineStr">
        <is>
          <t>Suite de carrière</t>
        </is>
      </c>
    </row>
    <row r="2" ht="30" customHeight="1" s="45">
      <c r="A2" s="78" t="inlineStr">
        <is>
          <t>Date</t>
        </is>
      </c>
      <c r="B2" s="78" t="inlineStr">
        <is>
          <t>Projet / Thème</t>
        </is>
      </c>
      <c r="C2" s="78" t="inlineStr">
        <is>
          <t>Tâche</t>
        </is>
      </c>
      <c r="D2" s="78" t="inlineStr">
        <is>
          <t>Statut</t>
        </is>
      </c>
      <c r="E2" s="78" t="inlineStr">
        <is>
          <t>Priorité</t>
        </is>
      </c>
      <c r="F2" s="78" t="inlineStr">
        <is>
          <t>Progression (%)</t>
        </is>
      </c>
      <c r="G2" s="78" t="inlineStr">
        <is>
          <t>Avancement</t>
        </is>
      </c>
      <c r="H2" s="78" t="inlineStr">
        <is>
          <t>Commentaires Elisa</t>
        </is>
      </c>
      <c r="I2" s="78" t="inlineStr">
        <is>
          <t>Prochaines étapes</t>
        </is>
      </c>
    </row>
    <row r="3" ht="54.75" customHeight="1" s="45">
      <c r="A3" s="67" t="inlineStr">
        <is>
          <t>2026-03-18</t>
        </is>
      </c>
      <c r="B3" s="67" t="inlineStr">
        <is>
          <t>Suite de la vie</t>
        </is>
      </c>
      <c r="C3" s="67" t="inlineStr">
        <is>
          <t xml:space="preserve">Apply PhD </t>
        </is>
      </c>
      <c r="D3" s="67" t="inlineStr">
        <is>
          <t>À faire</t>
        </is>
      </c>
      <c r="E3" s="67" t="inlineStr">
        <is>
          <t>Moyenne</t>
        </is>
      </c>
      <c r="F3" s="68" t="n">
        <v>0</v>
      </c>
      <c r="G3" s="67" t="inlineStr">
        <is>
          <t>https://www.linkedin.com/posts/angelique-perrillat_principal-phd-modeling-activity-7444639890597806080-cC_i?utm_source=share&amp;utm_medium=member_desktop&amp;rcm=ACoAAB-hGfwBY-zEk-dTA3WEEF4HexIB34d02Hg</t>
        </is>
      </c>
      <c r="H3" s="67" t="n"/>
      <c r="I3" s="67" t="inlineStr">
        <is>
          <t>nan</t>
        </is>
      </c>
    </row>
    <row r="4" ht="54.75" customHeight="1" s="45">
      <c r="A4" s="67" t="inlineStr">
        <is>
          <t>2026-03-18</t>
        </is>
      </c>
      <c r="B4" s="67" t="inlineStr">
        <is>
          <t>Suite de la vie</t>
        </is>
      </c>
      <c r="C4" s="67" t="inlineStr">
        <is>
          <t>Apply M2</t>
        </is>
      </c>
      <c r="D4" s="67" t="inlineStr">
        <is>
          <t>À faire</t>
        </is>
      </c>
      <c r="E4" s="67" t="inlineStr">
        <is>
          <t>Moyenne</t>
        </is>
      </c>
      <c r="F4" s="68" t="n">
        <v>0</v>
      </c>
      <c r="G4" s="67" t="inlineStr">
        <is>
          <t>M2 PK UPC / M2 labo MENTRE</t>
        </is>
      </c>
      <c r="H4" s="67" t="n"/>
      <c r="I4" s="67" t="inlineStr">
        <is>
          <t>nan</t>
        </is>
      </c>
    </row>
    <row r="5" ht="54.75" customHeight="1" s="45">
      <c r="A5" s="67" t="inlineStr">
        <is>
          <t>2026-03-18</t>
        </is>
      </c>
      <c r="B5" s="67" t="inlineStr">
        <is>
          <t>Suite de la vie</t>
        </is>
      </c>
      <c r="C5" s="67" t="inlineStr">
        <is>
          <t>Apply Interships</t>
        </is>
      </c>
      <c r="D5" s="67" t="inlineStr">
        <is>
          <t>À faire</t>
        </is>
      </c>
      <c r="E5" s="67" t="inlineStr">
        <is>
          <t>Moyenne</t>
        </is>
      </c>
      <c r="F5" s="68" t="n">
        <v>0</v>
      </c>
      <c r="G5" s="67" t="inlineStr">
        <is>
          <t>https://careers.roche.com/global/en/job/ROCHGLOBAL202603107265EXTERNALENGLOBAL/Biostatistician-Intern-Basel-4-6-months?utm_source=linkedin&amp;utm_medium=phenom-feeds</t>
        </is>
      </c>
      <c r="H5" s="67" t="n"/>
      <c r="I5" s="67" t="inlineStr">
        <is>
          <t>nan</t>
        </is>
      </c>
    </row>
    <row r="6" ht="54.75" customHeight="1" s="45">
      <c r="A6" s="71" t="inlineStr">
        <is>
          <t>2026-03-18</t>
        </is>
      </c>
      <c r="B6" s="71" t="inlineStr">
        <is>
          <t>Suite de la vie</t>
        </is>
      </c>
      <c r="C6" s="71" t="inlineStr">
        <is>
          <t>Abstract contrès junior (28 mai 2026)</t>
        </is>
      </c>
      <c r="D6" s="71" t="inlineStr">
        <is>
          <t>Terminé</t>
        </is>
      </c>
      <c r="E6" s="71" t="inlineStr">
        <is>
          <t>Basse</t>
        </is>
      </c>
      <c r="F6" s="72" t="n">
        <v>100</v>
      </c>
      <c r="G6" s="71" t="inlineStr">
        <is>
          <t>accepté (validation Sanofi legal) /// présentation orale 5 min, public non-spécialiste /// thème : évaluation FIM rapide vs CTS + guide pratique $DESIGN</t>
        </is>
      </c>
      <c r="H6" s="71" t="n"/>
      <c r="I6" s="71" t="inlineStr">
        <is>
          <t>préparer les 5 slides</t>
        </is>
      </c>
    </row>
    <row r="7" ht="54.75" customHeight="1" s="45">
      <c r="A7" s="65" t="inlineStr">
        <is>
          <t>2026-03-18</t>
        </is>
      </c>
      <c r="B7" s="65" t="inlineStr">
        <is>
          <t>Suite de la vie</t>
        </is>
      </c>
      <c r="C7" s="65" t="inlineStr">
        <is>
          <t>Candidature Roche Bâle (stage/emploi)</t>
        </is>
      </c>
      <c r="D7" s="65" t="inlineStr">
        <is>
          <t>En cours</t>
        </is>
      </c>
      <c r="E7" s="65" t="inlineStr">
        <is>
          <t>Haute</t>
        </is>
      </c>
      <c r="F7" s="66" t="n">
        <v>60</v>
      </c>
      <c r="G7" s="65" t="inlineStr">
        <is>
          <t>CV + cover letter prêts (4 variantes) /// offre : Biostatistician Intern Basel 4-6 months</t>
        </is>
      </c>
      <c r="H7" s="65" t="n"/>
      <c r="I7" s="65" t="inlineStr">
        <is>
          <t>soumettre la candidature</t>
        </is>
      </c>
    </row>
  </sheetData>
  <autoFilter ref="A2:I7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6A34A"/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4" min="1" max="1"/>
    <col width="10" customWidth="1" style="44" min="2" max="3"/>
    <col width="22" customWidth="1" style="44" min="4" max="4"/>
    <col width="65" customWidth="1" style="44" min="5" max="5"/>
    <col width="18" customWidth="1" style="44" min="6" max="6"/>
  </cols>
  <sheetData>
    <row r="1" ht="36" customHeight="1" s="45">
      <c r="A1" s="73" t="inlineStr">
        <is>
          <t>Changelog App Shiny</t>
        </is>
      </c>
    </row>
    <row r="2" ht="30" customHeight="1" s="45">
      <c r="A2" s="74" t="inlineStr">
        <is>
          <t>Date</t>
        </is>
      </c>
      <c r="B2" s="74" t="inlineStr">
        <is>
          <t>Version</t>
        </is>
      </c>
      <c r="C2" s="74" t="inlineStr">
        <is>
          <t>Type</t>
        </is>
      </c>
      <c r="D2" s="74" t="inlineStr">
        <is>
          <t>Module / Zone</t>
        </is>
      </c>
      <c r="E2" s="74" t="inlineStr">
        <is>
          <t>Description</t>
        </is>
      </c>
      <c r="F2" s="74" t="inlineStr">
        <is>
          <t>PR / Commit</t>
        </is>
      </c>
    </row>
    <row r="3" ht="21.75" customHeight="1" s="45">
      <c r="A3" s="79" t="inlineStr">
        <is>
          <t>2026-02-26</t>
        </is>
      </c>
      <c r="B3" s="79" t="inlineStr">
        <is>
          <t>V1.0</t>
        </is>
      </c>
      <c r="C3" s="79" t="inlineStr">
        <is>
          <t>Majeure</t>
        </is>
      </c>
      <c r="D3" s="79" t="inlineStr">
        <is>
          <t>App globale</t>
        </is>
      </c>
      <c r="E3" s="80" t="inlineStr">
        <is>
          <t>V1 Shiny : lecture .ext + affichage RSE de base</t>
        </is>
      </c>
      <c r="F3" s="79" t="inlineStr">
        <is>
          <t>nan</t>
        </is>
      </c>
    </row>
    <row r="4" ht="21.75" customHeight="1" s="45">
      <c r="A4" s="79" t="inlineStr">
        <is>
          <t>2026-02-27</t>
        </is>
      </c>
      <c r="B4" s="79" t="inlineStr">
        <is>
          <t>V1.1</t>
        </is>
      </c>
      <c r="C4" s="79" t="inlineStr">
        <is>
          <t>Majeure</t>
        </is>
      </c>
      <c r="D4" s="79" t="inlineStr">
        <is>
          <t>Parsers R</t>
        </is>
      </c>
      <c r="E4" s="80" t="inlineStr">
        <is>
          <t>Script R lecture .ext + résumé prior NWPRI</t>
        </is>
      </c>
      <c r="F4" s="79" t="inlineStr">
        <is>
          <t>nan</t>
        </is>
      </c>
    </row>
    <row r="5" ht="21.75" customHeight="1" s="45">
      <c r="A5" s="79" t="inlineStr">
        <is>
          <t>2026-03-01</t>
        </is>
      </c>
      <c r="B5" s="79" t="inlineStr">
        <is>
          <t>V2.0</t>
        </is>
      </c>
      <c r="C5" s="79" t="inlineStr">
        <is>
          <t>Majeure</t>
        </is>
      </c>
      <c r="D5" s="79" t="inlineStr">
        <is>
          <t>App globale</t>
        </is>
      </c>
      <c r="E5" s="80" t="inlineStr">
        <is>
          <t>V2 Shiny : sidebar nav, upload multi-fichiers, onglets RSE/FIM/convergence</t>
        </is>
      </c>
      <c r="F5" s="79" t="inlineStr">
        <is>
          <t>nan</t>
        </is>
      </c>
    </row>
    <row r="6" ht="21.75" customHeight="1" s="45">
      <c r="A6" s="81" t="inlineStr">
        <is>
          <t>2026-03-05</t>
        </is>
      </c>
      <c r="B6" s="81" t="inlineStr">
        <is>
          <t>V2.1</t>
        </is>
      </c>
      <c r="C6" s="81" t="inlineStr">
        <is>
          <t>Mineure</t>
        </is>
      </c>
      <c r="D6" s="81" t="inlineStr">
        <is>
          <t>Module RSE</t>
        </is>
      </c>
      <c r="E6" s="82" t="inlineStr">
        <is>
          <t>Ajout plot waterfall RSE + export CSV</t>
        </is>
      </c>
      <c r="F6" s="81" t="inlineStr">
        <is>
          <t>nan</t>
        </is>
      </c>
    </row>
    <row r="7" ht="21.75" customHeight="1" s="45">
      <c r="A7" s="83" t="inlineStr">
        <is>
          <t>2026-03-08</t>
        </is>
      </c>
      <c r="B7" s="83" t="inlineStr">
        <is>
          <t>V2.2</t>
        </is>
      </c>
      <c r="C7" s="83" t="inlineStr">
        <is>
          <t>Fix</t>
        </is>
      </c>
      <c r="D7" s="83" t="inlineStr">
        <is>
          <t>Module upload</t>
        </is>
      </c>
      <c r="E7" s="84" t="inlineStr">
        <is>
          <t>Fix fileInput dans renderUI (ne pas mettre dans reactive modifié par handler)</t>
        </is>
      </c>
      <c r="F7" s="83" t="inlineStr">
        <is>
          <t>nan</t>
        </is>
      </c>
    </row>
    <row r="8" ht="21.75" customHeight="1" s="45">
      <c r="A8" s="81" t="inlineStr">
        <is>
          <t>2026-03-10</t>
        </is>
      </c>
      <c r="B8" s="81" t="inlineStr">
        <is>
          <t>V2.3</t>
        </is>
      </c>
      <c r="C8" s="81" t="inlineStr">
        <is>
          <t>Mineure</t>
        </is>
      </c>
      <c r="D8" s="81" t="inlineStr">
        <is>
          <t>Module FIM</t>
        </is>
      </c>
      <c r="E8" s="82" t="inlineStr">
        <is>
          <t>Heatmap FIM + corrélations</t>
        </is>
      </c>
      <c r="F8" s="81" t="inlineStr">
        <is>
          <t>nan</t>
        </is>
      </c>
    </row>
    <row r="9" ht="21.75" customHeight="1" s="45">
      <c r="A9" s="79" t="inlineStr">
        <is>
          <t>2026-03-12</t>
        </is>
      </c>
      <c r="B9" s="79" t="inlineStr">
        <is>
          <t>V3.0</t>
        </is>
      </c>
      <c r="C9" s="79" t="inlineStr">
        <is>
          <t>Majeure</t>
        </is>
      </c>
      <c r="D9" s="79" t="inlineStr">
        <is>
          <t>App globale</t>
        </is>
      </c>
      <c r="E9" s="80" t="inlineStr">
        <is>
          <t>V3 : architecture 13 modules, CSS variables, drawer, metric cards</t>
        </is>
      </c>
      <c r="F9" s="79" t="inlineStr">
        <is>
          <t>nan</t>
        </is>
      </c>
    </row>
    <row r="10" ht="21.75" customHeight="1" s="45">
      <c r="A10" s="81" t="inlineStr">
        <is>
          <t>2026-03-14</t>
        </is>
      </c>
      <c r="B10" s="81" t="inlineStr">
        <is>
          <t>V3.1</t>
        </is>
      </c>
      <c r="C10" s="81" t="inlineStr">
        <is>
          <t>Mineure</t>
        </is>
      </c>
      <c r="D10" s="81" t="inlineStr">
        <is>
          <t>Module exemples</t>
        </is>
      </c>
      <c r="E10" s="82" t="inlineStr">
        <is>
          <t>Intégration exemples Bauer 2021 (ex1-7) dans l'app</t>
        </is>
      </c>
      <c r="F10" s="81" t="inlineStr">
        <is>
          <t>nan</t>
        </is>
      </c>
    </row>
    <row r="11" ht="21.75" customHeight="1" s="45">
      <c r="A11" s="83" t="inlineStr">
        <is>
          <t>2026-03-16</t>
        </is>
      </c>
      <c r="B11" s="83" t="inlineStr">
        <is>
          <t>V3.2</t>
        </is>
      </c>
      <c r="C11" s="83" t="inlineStr">
        <is>
          <t>Fix</t>
        </is>
      </c>
      <c r="D11" s="83" t="inlineStr">
        <is>
          <t>Bootstrap</t>
        </is>
      </c>
      <c r="E11" s="84" t="inlineStr">
        <is>
          <t>Fix Bootstrap 3 : btn-default (shiny 1.7.1, pas btn-outline-secondary)</t>
        </is>
      </c>
      <c r="F11" s="83" t="inlineStr">
        <is>
          <t>nan</t>
        </is>
      </c>
    </row>
    <row r="12" ht="21.75" customHeight="1" s="45">
      <c r="A12" s="81" t="inlineStr">
        <is>
          <t>2026-03-18</t>
        </is>
      </c>
      <c r="B12" s="81" t="inlineStr">
        <is>
          <t>V3.3</t>
        </is>
      </c>
      <c r="C12" s="81" t="inlineStr">
        <is>
          <t>Mineure</t>
        </is>
      </c>
      <c r="D12" s="81" t="inlineStr">
        <is>
          <t>Module compare</t>
        </is>
      </c>
      <c r="E12" s="82" t="inlineStr">
        <is>
          <t>Comparaison multi-runs côte à côte</t>
        </is>
      </c>
      <c r="F12" s="81" t="inlineStr">
        <is>
          <t>nan</t>
        </is>
      </c>
    </row>
    <row r="13" ht="21.75" customHeight="1" s="45">
      <c r="A13" s="81" t="inlineStr">
        <is>
          <t>2026-03-20</t>
        </is>
      </c>
      <c r="B13" s="81" t="inlineStr">
        <is>
          <t>V3.4</t>
        </is>
      </c>
      <c r="C13" s="81" t="inlineStr">
        <is>
          <t>Mineure</t>
        </is>
      </c>
      <c r="D13" s="81" t="inlineStr">
        <is>
          <t>Module times</t>
        </is>
      </c>
      <c r="E13" s="82" t="inlineStr">
        <is>
          <t>Affichage temps optimaux depuis .tab</t>
        </is>
      </c>
      <c r="F13" s="81" t="inlineStr">
        <is>
          <t>nan</t>
        </is>
      </c>
    </row>
    <row r="14" ht="21.75" customHeight="1" s="45">
      <c r="A14" s="85" t="inlineStr">
        <is>
          <t>2026-03-22</t>
        </is>
      </c>
      <c r="B14" s="85" t="inlineStr">
        <is>
          <t>V3.5</t>
        </is>
      </c>
      <c r="C14" s="85" t="inlineStr">
        <is>
          <t>Refacto</t>
        </is>
      </c>
      <c r="D14" s="85" t="inlineStr">
        <is>
          <t>Parsers R</t>
        </is>
      </c>
      <c r="E14" s="86" t="inlineStr">
        <is>
          <t>Refacto parse_design_outputs.R : get_rse(), get_relativeinf(), get_d_criterion()</t>
        </is>
      </c>
      <c r="F14" s="85" t="inlineStr">
        <is>
          <t>nan</t>
        </is>
      </c>
    </row>
    <row r="15" ht="21.75" customHeight="1" s="45">
      <c r="A15" s="81" t="inlineStr">
        <is>
          <t>2026-03-24</t>
        </is>
      </c>
      <c r="B15" s="81" t="inlineStr">
        <is>
          <t>V3.6</t>
        </is>
      </c>
      <c r="C15" s="81" t="inlineStr">
        <is>
          <t>Mineure</t>
        </is>
      </c>
      <c r="D15" s="81" t="inlineStr">
        <is>
          <t>Module prior</t>
        </is>
      </c>
      <c r="E15" s="82" t="inlineStr">
        <is>
          <t>Lecture .coi + heatmap FIM séquentielle</t>
        </is>
      </c>
      <c r="F15" s="81" t="inlineStr">
        <is>
          <t>nan</t>
        </is>
      </c>
    </row>
    <row r="16" ht="21.75" customHeight="1" s="45">
      <c r="A16" s="79" t="inlineStr">
        <is>
          <t>2026-03-26</t>
        </is>
      </c>
      <c r="B16" s="79" t="inlineStr">
        <is>
          <t>V4.0</t>
        </is>
      </c>
      <c r="C16" s="79" t="inlineStr">
        <is>
          <t>Majeure</t>
        </is>
      </c>
      <c r="D16" s="79" t="inlineStr">
        <is>
          <t>App globale</t>
        </is>
      </c>
      <c r="E16" s="80" t="inlineStr">
        <is>
          <t>V4 : 6 slots fichiers, pagination RSE, médiane RSE</t>
        </is>
      </c>
      <c r="F16" s="79" t="inlineStr">
        <is>
          <t>PR #33</t>
        </is>
      </c>
    </row>
    <row r="17" ht="21.75" customHeight="1" s="45">
      <c r="A17" s="81" t="inlineStr">
        <is>
          <t>2026-03-28</t>
        </is>
      </c>
      <c r="B17" s="81" t="inlineStr">
        <is>
          <t>V4.1</t>
        </is>
      </c>
      <c r="C17" s="81" t="inlineStr">
        <is>
          <t>Mineure</t>
        </is>
      </c>
      <c r="D17" s="81" t="inlineStr">
        <is>
          <t>Module raw</t>
        </is>
      </c>
      <c r="E17" s="82" t="inlineStr">
        <is>
          <t>Affichage fichiers bruts (.ext, .shk, .coi, .res)</t>
        </is>
      </c>
      <c r="F17" s="81" t="inlineStr">
        <is>
          <t>nan</t>
        </is>
      </c>
    </row>
    <row r="18" ht="39.75" customHeight="1" s="45">
      <c r="A18" s="83" t="inlineStr">
        <is>
          <t>2026-03-30</t>
        </is>
      </c>
      <c r="B18" s="83" t="inlineStr">
        <is>
          <t>V4.2</t>
        </is>
      </c>
      <c r="C18" s="83" t="inlineStr">
        <is>
          <t>Fix</t>
        </is>
      </c>
      <c r="D18" s="83" t="inlineStr">
        <is>
          <t>Multi-run</t>
        </is>
      </c>
      <c r="E18" s="84" t="inlineStr">
        <is>
          <t>Fix vapply name guards + effective_tab_data fallback multi-run sans .tab principal</t>
        </is>
      </c>
      <c r="F18" s="83" t="inlineStr">
        <is>
          <t>PR #34 / b975bdf</t>
        </is>
      </c>
    </row>
    <row r="19" ht="21.75" customHeight="1" s="45">
      <c r="A19" s="81" t="inlineStr">
        <is>
          <t>2026-03-31</t>
        </is>
      </c>
      <c r="B19" s="81" t="inlineStr">
        <is>
          <t>V4.3</t>
        </is>
      </c>
      <c r="C19" s="81" t="inlineStr">
        <is>
          <t>Mineure</t>
        </is>
      </c>
      <c r="D19" s="81" t="inlineStr">
        <is>
          <t>Module convergence</t>
        </is>
      </c>
      <c r="E19" s="82" t="inlineStr">
        <is>
          <t>CPU time affiché + plot convergence amélioré</t>
        </is>
      </c>
      <c r="F19" s="81" t="inlineStr">
        <is>
          <t>nan</t>
        </is>
      </c>
    </row>
    <row r="20" ht="21.75" customHeight="1" s="45">
      <c r="A20" s="83" t="inlineStr">
        <is>
          <t>2026-04-01</t>
        </is>
      </c>
      <c r="B20" s="83" t="inlineStr">
        <is>
          <t>V4.3.1</t>
        </is>
      </c>
      <c r="C20" s="83" t="inlineStr">
        <is>
          <t>Fix</t>
        </is>
      </c>
      <c r="D20" s="83" t="inlineStr">
        <is>
          <t>Navigation exemples</t>
        </is>
      </c>
      <c r="E20" s="84" t="inlineStr">
        <is>
          <t>Fix navigation multi-étapes ex2/ex4 (architecture steps)</t>
        </is>
      </c>
      <c r="F20" s="83" t="inlineStr">
        <is>
          <t>PR #35</t>
        </is>
      </c>
    </row>
    <row r="21" ht="21.75" customHeight="1" s="45">
      <c r="A21" s="79" t="inlineStr">
        <is>
          <t>2026-04-01</t>
        </is>
      </c>
      <c r="B21" s="79" t="inlineStr">
        <is>
          <t>V4.3.2</t>
        </is>
      </c>
      <c r="C21" s="79" t="inlineStr">
        <is>
          <t>Majeure</t>
        </is>
      </c>
      <c r="D21" s="79" t="inlineStr">
        <is>
          <t>App globale</t>
        </is>
      </c>
      <c r="E21" s="80" t="inlineStr">
        <is>
          <t>6 slots, pagination RSE, RSE médian, CPU time — version actuelle sur main</t>
        </is>
      </c>
      <c r="F21" s="79" t="inlineStr">
        <is>
          <t>PR #36</t>
        </is>
      </c>
    </row>
    <row r="22">
      <c r="A22" s="44" t="inlineStr">
        <is>
          <t>2026-04-07</t>
        </is>
      </c>
      <c r="B22" s="44" t="inlineStr">
        <is>
          <t>V4.4.0</t>
        </is>
      </c>
      <c r="C22" s="44" t="inlineStr">
        <is>
          <t>Majeure</t>
        </is>
      </c>
      <c r="D22" s="44" t="inlineStr">
        <is>
          <t>Module Power/NSN</t>
        </is>
      </c>
      <c r="E22" s="44" t="inlineStr">
        <is>
          <t>Puissance Wald + NSN par scaling FIM. Formules PopED portees. parse_groupsize() auto-rempli.</t>
        </is>
      </c>
      <c r="F22" s="44" t="inlineStr">
        <is>
          <t>PR #37</t>
        </is>
      </c>
    </row>
    <row r="23">
      <c r="A23" s="44" t="inlineStr">
        <is>
          <t>2026-04-08</t>
        </is>
      </c>
      <c r="B23" s="44" t="inlineStr">
        <is>
          <t>V4.5.0</t>
        </is>
      </c>
      <c r="C23" s="44" t="inlineStr">
        <is>
          <t>Majeure</t>
        </is>
      </c>
      <c r="D23" s="44" t="inlineStr">
        <is>
          <t>Module Power/NSN</t>
        </is>
      </c>
      <c r="E23" s="44" t="inlineStr">
        <is>
          <t>TOST equivalence (PFIM eq. 4-7). N total editable. Encadres explicatifs Wald/TOST.</t>
        </is>
      </c>
      <c r="F23" s="44" t="inlineStr">
        <is>
          <t>PR #38</t>
        </is>
      </c>
    </row>
    <row r="24">
      <c r="A24" s="44" t="inlineStr">
        <is>
          <t>2026-04-08</t>
        </is>
      </c>
      <c r="B24" s="44" t="inlineStr">
        <is>
          <t>V4.5.0b</t>
        </is>
      </c>
      <c r="C24" s="44" t="inlineStr">
        <is>
          <t>Refacto</t>
        </is>
      </c>
      <c r="D24" s="44" t="inlineStr">
        <is>
          <t>Parsers R</t>
        </is>
      </c>
      <c r="E24" s="44" t="inlineStr">
        <is>
          <t>Split parse_design_outputs.R en 5 fichiers (&lt;425 lignes). 0 changement API.</t>
        </is>
      </c>
      <c r="F24" s="44" t="inlineStr">
        <is>
          <t>PR #39</t>
        </is>
      </c>
    </row>
    <row r="25">
      <c r="A25" s="44" t="inlineStr">
        <is>
          <t>2026-04-08</t>
        </is>
      </c>
      <c r="B25" s="44" t="inlineStr">
        <is>
          <t>V4.5.1</t>
        </is>
      </c>
      <c r="C25" s="44" t="inlineStr">
        <is>
          <t>Fix</t>
        </is>
      </c>
      <c r="D25" s="44" t="inlineStr">
        <is>
          <t>Module times</t>
        </is>
      </c>
      <c r="E25" s="44" t="inlineStr">
        <is>
          <t>Elementary designs (GROUPSIZE&gt;1) : detection bras par signature TSTRAT, 180-&gt;2 facettes.</t>
        </is>
      </c>
      <c r="F25" s="44" t="inlineStr">
        <is>
          <t>PR #40</t>
        </is>
      </c>
    </row>
    <row r="26">
      <c r="A26" s="44" t="inlineStr">
        <is>
          <t>2026-04-10</t>
        </is>
      </c>
      <c r="B26" s="44" t="inlineStr">
        <is>
          <t>V4.5.2</t>
        </is>
      </c>
      <c r="C26" s="44" t="inlineStr">
        <is>
          <t>Majeure</t>
        </is>
      </c>
      <c r="D26" s="44" t="inlineStr">
        <is>
          <t>Module SSE + convergence</t>
        </is>
      </c>
      <c r="E26" s="44" t="inlineStr">
        <is>
          <t>SSE validation (scatter FIM vs SSE, CI 95%, D-crit). Convergence steps (RS/STGR/NELDER). PK timeline cap 4 facettes. Fix launch.browser.</t>
        </is>
      </c>
      <c r="F26" s="44" t="inlineStr">
        <is>
          <t>PR #41 + commits</t>
        </is>
      </c>
    </row>
    <row r="27">
      <c r="A27" s="44" t="inlineStr">
        <is>
          <t>2026-04-12</t>
        </is>
      </c>
      <c r="B27" s="44" t="inlineStr">
        <is>
          <t>V5.0.0</t>
        </is>
      </c>
      <c r="C27" s="44" t="inlineStr">
        <is>
          <t>Majeure</t>
        </is>
      </c>
      <c r="D27" s="44" t="inlineStr">
        <is>
          <t>App globale</t>
        </is>
      </c>
      <c r="E27" s="44" t="inlineStr">
        <is>
          <t>Refonte V5 : Home landing page, kill drawer, English labels, rename DE$IGN EXPLORER. Upload+Examples dans Home tab.</t>
        </is>
      </c>
      <c r="F27" s="44" t="inlineStr">
        <is>
          <t>commit 9ef08fe</t>
        </is>
      </c>
    </row>
    <row r="28">
      <c r="A28" s="44" t="inlineStr">
        <is>
          <t>2026-04-12</t>
        </is>
      </c>
      <c r="B28" s="44" t="inlineStr">
        <is>
          <t>V5.1</t>
        </is>
      </c>
      <c r="C28" s="44" t="inlineStr">
        <is>
          <t>Majeure</t>
        </is>
      </c>
      <c r="D28" s="44" t="inlineStr">
        <is>
          <t>App globale</t>
        </is>
      </c>
      <c r="E28" s="44" t="inlineStr">
        <is>
          <t>navbarPage migration (kill conditionalPanel+JS), Home two-column layout, Compare integre dans Home, settings_bar dans mod_times/mod_power, detect_method(), CSS cleanup.</t>
        </is>
      </c>
      <c r="F28" s="44" t="inlineStr">
        <is>
          <t>commit 3de476e</t>
        </is>
      </c>
    </row>
  </sheetData>
  <autoFilter ref="A2:F21"/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74151"/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4" min="1" max="1"/>
    <col width="22" customWidth="1" style="44" min="2" max="2"/>
    <col width="45" customWidth="1" style="44" min="3" max="4"/>
    <col width="15" customWidth="1" style="44" min="5" max="5"/>
  </cols>
  <sheetData>
    <row r="1" ht="36" customHeight="1" s="45">
      <c r="A1" s="87" t="inlineStr">
        <is>
          <t>Historique des Reunions</t>
        </is>
      </c>
    </row>
    <row r="2" ht="30" customHeight="1" s="45">
      <c r="A2" s="64" t="inlineStr">
        <is>
          <t>Date</t>
        </is>
      </c>
      <c r="B2" s="64" t="inlineStr">
        <is>
          <t>Participants</t>
        </is>
      </c>
      <c r="C2" s="64" t="inlineStr">
        <is>
          <t>Points abordés</t>
        </is>
      </c>
      <c r="D2" s="64" t="inlineStr">
        <is>
          <t>Décisions / Actions</t>
        </is>
      </c>
      <c r="E2" s="64" t="inlineStr">
        <is>
          <t>Prochaine réunion</t>
        </is>
      </c>
    </row>
    <row r="3" ht="34.5" customHeight="1" s="45">
      <c r="A3" s="88" t="inlineStr">
        <is>
          <t>2026-02-27</t>
        </is>
      </c>
      <c r="B3" s="88" t="inlineStr">
        <is>
          <t>Abdallah + Elisa</t>
        </is>
      </c>
      <c r="C3" s="88" t="inlineStr">
        <is>
          <t>Script R - lecture fichier .ext</t>
        </is>
      </c>
      <c r="D3" s="88" t="n"/>
      <c r="E3" s="88" t="n"/>
    </row>
    <row r="4" ht="34.5" customHeight="1" s="45">
      <c r="A4" s="88" t="inlineStr">
        <is>
          <t>2026-03-02</t>
        </is>
      </c>
      <c r="B4" s="88" t="inlineStr">
        <is>
          <t>Abdallah + Elisa</t>
        </is>
      </c>
      <c r="C4" s="88" t="inlineStr">
        <is>
          <t>Vérifier dernières guidances FDA/EMA sur</t>
        </is>
      </c>
      <c r="D4" s="88" t="n"/>
      <c r="E4" s="88" t="n"/>
    </row>
    <row r="5" ht="34.5" customHeight="1" s="45">
      <c r="A5" s="88" t="inlineStr">
        <is>
          <t>2026-03-06</t>
        </is>
      </c>
      <c r="B5" s="88" t="inlineStr">
        <is>
          <t>Abdallah + Elisa</t>
        </is>
      </c>
      <c r="C5" s="88" t="inlineStr">
        <is>
          <t>$DESIGN frexa EFC18098 = éval sur NM</t>
        </is>
      </c>
      <c r="D5" s="88" t="n"/>
      <c r="E5" s="88" t="n"/>
    </row>
    <row r="6" ht="34.5" customHeight="1" s="45">
      <c r="A6" s="88" t="inlineStr">
        <is>
          <t>2026-03-15</t>
        </is>
      </c>
      <c r="B6" s="88" t="inlineStr">
        <is>
          <t>Abdallah + Elisa</t>
        </is>
      </c>
      <c r="C6" s="88" t="inlineStr">
        <is>
          <t>App Shiny V4 post-processing $DESIGN</t>
        </is>
      </c>
      <c r="D6" s="88" t="n"/>
      <c r="E6" s="88" t="n"/>
    </row>
    <row r="7" ht="34.5" customHeight="1" s="45">
      <c r="A7" s="88" t="inlineStr">
        <is>
          <t>2026-03-18</t>
        </is>
      </c>
      <c r="B7" s="88" t="inlineStr">
        <is>
          <t>Abdallah + Elisa</t>
        </is>
      </c>
      <c r="C7" s="88" t="inlineStr">
        <is>
          <t>Apply PhD , Apply M2, Apply Interships (+2)</t>
        </is>
      </c>
      <c r="D7" s="88" t="n"/>
      <c r="E7" s="88" t="n"/>
    </row>
    <row r="8" ht="34.5" customHeight="1" s="45">
      <c r="A8" s="88" t="inlineStr">
        <is>
          <t>2026-03-26</t>
        </is>
      </c>
      <c r="B8" s="88" t="inlineStr">
        <is>
          <t>Abdallah + Elisa</t>
        </is>
      </c>
      <c r="C8" s="88" t="inlineStr">
        <is>
          <t xml:space="preserve">Exploration FIMTYPE × VARCROSS complète </t>
        </is>
      </c>
      <c r="D8" s="88" t="n"/>
      <c r="E8" s="88" t="n"/>
    </row>
    <row r="9" ht="34.5" customHeight="1" s="45">
      <c r="A9" s="88" t="inlineStr">
        <is>
          <t>2026-03-31</t>
        </is>
      </c>
      <c r="B9" s="88" t="inlineStr">
        <is>
          <t>Abdallah + Elisa</t>
        </is>
      </c>
      <c r="C9" s="88" t="inlineStr">
        <is>
          <t>Exploration APPROX sur PSM (6 combinaiso</t>
        </is>
      </c>
      <c r="D9" s="88" t="n"/>
      <c r="E9" s="88" t="n"/>
    </row>
    <row r="10" ht="34.5" customHeight="1" s="45">
      <c r="A10" s="88" t="inlineStr">
        <is>
          <t>2026-04-01</t>
        </is>
      </c>
      <c r="B10" s="88" t="inlineStr">
        <is>
          <t>Abdallah + Elisa</t>
        </is>
      </c>
      <c r="C10" s="88" t="inlineStr">
        <is>
          <t>Trick FOCEI (REPL+$SIM) : implémenté et , Taxonomie complète options $DESIGN (8 gr, CTS N=200 : validation RSE FIM vs empiri (+1)</t>
        </is>
      </c>
      <c r="D10" s="88" t="n"/>
      <c r="E10" s="88" t="n"/>
    </row>
    <row r="11" ht="34.5" customHeight="1" s="45">
      <c r="A11" s="88" t="inlineStr">
        <is>
          <t>2026-04-28</t>
        </is>
      </c>
      <c r="B11" s="88" t="inlineStr">
        <is>
          <t>Abdallah + Elisa</t>
        </is>
      </c>
      <c r="C11" s="88" t="inlineStr">
        <is>
          <t>Positive control : répliquer sur warfari</t>
        </is>
      </c>
      <c r="D11" s="88" t="n"/>
      <c r="E11" s="88" t="n"/>
    </row>
    <row r="12" ht="34.5" customHeight="1" s="45">
      <c r="A12" s="88" t="inlineStr">
        <is>
          <t>26-févr</t>
        </is>
      </c>
      <c r="B12" s="88" t="inlineStr">
        <is>
          <t>Abdallah + Elisa</t>
        </is>
      </c>
      <c r="C12" s="88" t="inlineStr">
        <is>
          <t>Rédiger la méthodologie de recherche, Définir l'objectif de recherche, Réaliser l’évaluation du Frexa (+5)</t>
        </is>
      </c>
      <c r="D12" s="88" t="n"/>
      <c r="E12" s="88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2026-04-06T19:40:18Z</dcterms:created>
  <dcterms:modified xmlns:dcterms="http://purl.org/dc/terms/" xmlns:xsi="http://www.w3.org/2001/XMLSchema-instance" xsi:type="dcterms:W3CDTF">2026-04-13T12:58:24Z</dcterms:modified>
  <cp:revision>0</cp:revision>
</cp:coreProperties>
</file>